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915" windowWidth="17520" windowHeight="4155"/>
  </bookViews>
  <sheets>
    <sheet name="VIGENTES_ ESTIAGEM_SECA_2018" sheetId="1" r:id="rId1"/>
    <sheet name="Vencidos" sheetId="2" r:id="rId2"/>
    <sheet name="Arquivado" sheetId="4" r:id="rId3"/>
    <sheet name="backup" sheetId="3" r:id="rId4"/>
    <sheet name="Plan2" sheetId="6" r:id="rId5"/>
  </sheets>
  <definedNames>
    <definedName name="_xlnm._FilterDatabase" localSheetId="4" hidden="1">Plan2!$E$1:$E$113</definedName>
    <definedName name="_xlnm._FilterDatabase" localSheetId="0" hidden="1">'VIGENTES_ ESTIAGEM_SECA_2018'!$A$5:$O$109</definedName>
    <definedName name="_xlnm.Print_Area" localSheetId="0">'VIGENTES_ ESTIAGEM_SECA_2018'!$A$1:$O$95</definedName>
  </definedNames>
  <calcPr calcId="145621"/>
</workbook>
</file>

<file path=xl/calcChain.xml><?xml version="1.0" encoding="utf-8"?>
<calcChain xmlns="http://schemas.openxmlformats.org/spreadsheetml/2006/main">
  <c r="G52" i="2" l="1"/>
  <c r="I52" i="2"/>
  <c r="G53" i="2"/>
  <c r="I53" i="2"/>
  <c r="G120" i="1" l="1"/>
  <c r="I120" i="1" s="1"/>
  <c r="G119" i="1" l="1"/>
  <c r="I119" i="1" s="1"/>
  <c r="G118" i="1"/>
  <c r="I118" i="1" s="1"/>
  <c r="G117" i="1" l="1"/>
  <c r="I117" i="1" s="1"/>
  <c r="G116" i="1" l="1"/>
  <c r="I116" i="1" s="1"/>
  <c r="G51" i="2"/>
  <c r="I51" i="2" s="1"/>
  <c r="G50" i="2" l="1"/>
  <c r="I50" i="2" s="1"/>
  <c r="G115" i="1" l="1"/>
  <c r="I115" i="1" s="1"/>
  <c r="G112" i="1" l="1"/>
  <c r="I112" i="1" s="1"/>
  <c r="G113" i="1"/>
  <c r="I113" i="1"/>
  <c r="G114" i="1"/>
  <c r="I114" i="1" s="1"/>
  <c r="G16" i="4"/>
  <c r="I16" i="4" s="1"/>
  <c r="G49" i="2"/>
  <c r="I49" i="2" s="1"/>
  <c r="G111" i="1" l="1"/>
  <c r="I111" i="1" s="1"/>
  <c r="G15" i="4" l="1"/>
  <c r="I15" i="4" s="1"/>
  <c r="I14" i="4" l="1"/>
  <c r="G14" i="4"/>
  <c r="G110" i="1"/>
  <c r="I110" i="1" s="1"/>
  <c r="G47" i="2"/>
  <c r="I47" i="2"/>
  <c r="G48" i="2"/>
  <c r="I48" i="2"/>
  <c r="G109" i="1" l="1"/>
  <c r="I109" i="1" s="1"/>
  <c r="G108" i="1"/>
  <c r="I108" i="1" s="1"/>
  <c r="G107" i="1" l="1"/>
  <c r="I107" i="1" s="1"/>
  <c r="G106" i="1"/>
  <c r="I106" i="1" s="1"/>
  <c r="G105" i="1" l="1"/>
  <c r="I105" i="1" s="1"/>
  <c r="G104" i="1"/>
  <c r="I104" i="1" s="1"/>
  <c r="G13" i="4" l="1"/>
  <c r="I13" i="4" s="1"/>
  <c r="G45" i="2"/>
  <c r="I45" i="2" s="1"/>
  <c r="G46" i="2"/>
  <c r="I46" i="2" s="1"/>
  <c r="G44" i="2" l="1"/>
  <c r="I44" i="2" s="1"/>
  <c r="G102" i="1"/>
  <c r="I102" i="1" s="1"/>
  <c r="G100" i="1"/>
  <c r="I100" i="1" s="1"/>
  <c r="G101" i="1"/>
  <c r="I101" i="1" s="1"/>
  <c r="G103" i="1"/>
  <c r="I103" i="1" s="1"/>
  <c r="G12" i="4"/>
  <c r="I12" i="4" s="1"/>
  <c r="G11" i="4"/>
  <c r="I11" i="4" s="1"/>
  <c r="G99" i="1" l="1"/>
  <c r="I99" i="1" s="1"/>
  <c r="G98" i="1"/>
  <c r="I98" i="1" s="1"/>
  <c r="G97" i="1"/>
  <c r="I97" i="1" s="1"/>
  <c r="G10" i="4"/>
  <c r="I10" i="4" s="1"/>
  <c r="G96" i="1"/>
  <c r="I96" i="1" s="1"/>
  <c r="G43" i="2"/>
  <c r="I43" i="2" s="1"/>
  <c r="G9" i="4"/>
  <c r="I9" i="4" s="1"/>
  <c r="G95" i="1" l="1"/>
  <c r="I95" i="1" s="1"/>
  <c r="G94" i="1"/>
  <c r="I94" i="1" s="1"/>
  <c r="G42" i="2" l="1"/>
  <c r="I42" i="2" s="1"/>
  <c r="G93" i="1" l="1"/>
  <c r="I93" i="1" s="1"/>
  <c r="G92" i="1"/>
  <c r="I92" i="1" s="1"/>
  <c r="G8" i="4"/>
  <c r="I8" i="4" s="1"/>
  <c r="G91" i="1" l="1"/>
  <c r="I91" i="1" s="1"/>
  <c r="G90" i="1" l="1"/>
  <c r="I90" i="1" s="1"/>
  <c r="G89" i="1"/>
  <c r="I89" i="1" s="1"/>
  <c r="G40" i="2"/>
  <c r="I40" i="2" s="1"/>
  <c r="G41" i="2"/>
  <c r="I41" i="2" s="1"/>
  <c r="G88" i="1" l="1"/>
  <c r="I88" i="1" s="1"/>
  <c r="G7" i="4"/>
  <c r="I7" i="4" s="1"/>
  <c r="G6" i="4"/>
  <c r="I6" i="4" s="1"/>
  <c r="G5" i="4"/>
  <c r="I5" i="4" s="1"/>
  <c r="G4" i="4"/>
  <c r="I4" i="4" s="1"/>
  <c r="G87" i="1"/>
  <c r="I87" i="1" s="1"/>
  <c r="G86" i="1"/>
  <c r="I86" i="1" s="1"/>
  <c r="G85" i="1"/>
  <c r="I85" i="1" s="1"/>
  <c r="G84" i="1" l="1"/>
  <c r="I84" i="1" s="1"/>
  <c r="G83" i="1"/>
  <c r="I83" i="1" s="1"/>
  <c r="G38" i="2"/>
  <c r="I38" i="2" s="1"/>
  <c r="G39" i="2"/>
  <c r="I39" i="2" s="1"/>
  <c r="G36" i="2" l="1"/>
  <c r="I36" i="2" s="1"/>
  <c r="G37" i="2"/>
  <c r="I37" i="2" s="1"/>
  <c r="G82" i="1" l="1"/>
  <c r="I82" i="1" s="1"/>
  <c r="G35" i="2" l="1"/>
  <c r="I35" i="2" s="1"/>
  <c r="G34" i="2" l="1"/>
  <c r="I34" i="2" s="1"/>
  <c r="G3" i="4" l="1"/>
  <c r="I3" i="4" s="1"/>
  <c r="G81" i="1"/>
  <c r="I81" i="1" s="1"/>
  <c r="G80" i="1"/>
  <c r="I80" i="1" s="1"/>
  <c r="G79" i="1"/>
  <c r="I79" i="1" s="1"/>
  <c r="G33" i="2"/>
  <c r="I33" i="2" s="1"/>
  <c r="G78" i="1" l="1"/>
  <c r="I78" i="1" s="1"/>
  <c r="G32" i="2"/>
  <c r="I32" i="2" s="1"/>
  <c r="G77" i="1" l="1"/>
  <c r="I77" i="1" s="1"/>
  <c r="D126" i="1" l="1"/>
  <c r="G74" i="1"/>
  <c r="I74" i="1" s="1"/>
  <c r="G31" i="2" l="1"/>
  <c r="I31" i="2" s="1"/>
  <c r="G76" i="1" l="1"/>
  <c r="I76" i="1" s="1"/>
  <c r="G75" i="1"/>
  <c r="I75" i="1" s="1"/>
  <c r="G73" i="1" l="1"/>
  <c r="I73" i="1" s="1"/>
  <c r="G72" i="1"/>
  <c r="I72" i="1" s="1"/>
  <c r="G71" i="1" l="1"/>
  <c r="I71" i="1" s="1"/>
  <c r="G30" i="2"/>
  <c r="I30" i="2" s="1"/>
  <c r="G70" i="1"/>
  <c r="I70" i="1" s="1"/>
  <c r="G69" i="1"/>
  <c r="I69" i="1" s="1"/>
  <c r="G68" i="1" l="1"/>
  <c r="I68" i="1" s="1"/>
  <c r="G67" i="1"/>
  <c r="I67" i="1" s="1"/>
  <c r="G66" i="1"/>
  <c r="I66" i="1" s="1"/>
  <c r="G65" i="1"/>
  <c r="I65" i="1" s="1"/>
  <c r="G27" i="2" l="1"/>
  <c r="I27" i="2" s="1"/>
  <c r="G28" i="2"/>
  <c r="I28" i="2" s="1"/>
  <c r="G29" i="2"/>
  <c r="I29" i="2" s="1"/>
  <c r="G64" i="1" l="1"/>
  <c r="I64" i="1" s="1"/>
  <c r="G63" i="1" l="1"/>
  <c r="I63" i="1" s="1"/>
  <c r="G62" i="1"/>
  <c r="I62" i="1" s="1"/>
  <c r="G61" i="1"/>
  <c r="I61" i="1" s="1"/>
  <c r="G60" i="1"/>
  <c r="I60" i="1" s="1"/>
  <c r="G59" i="1"/>
  <c r="I59" i="1" s="1"/>
  <c r="G25" i="2" l="1"/>
  <c r="I25" i="2" s="1"/>
  <c r="G26" i="2"/>
  <c r="I26" i="2" s="1"/>
  <c r="G58" i="1" l="1"/>
  <c r="I58" i="1" s="1"/>
  <c r="G24" i="2" l="1"/>
  <c r="I24" i="2" s="1"/>
  <c r="G57" i="1" l="1"/>
  <c r="I57" i="1" s="1"/>
  <c r="G56" i="1" l="1"/>
  <c r="I56" i="1" s="1"/>
  <c r="D108" i="3"/>
  <c r="D107" i="3"/>
  <c r="G101" i="3"/>
  <c r="I101" i="3" s="1"/>
  <c r="G100" i="3"/>
  <c r="I100" i="3" s="1"/>
  <c r="G99" i="3"/>
  <c r="I99" i="3" s="1"/>
  <c r="G98" i="3"/>
  <c r="I98" i="3" s="1"/>
  <c r="G97" i="3"/>
  <c r="I97" i="3" s="1"/>
  <c r="G96" i="3"/>
  <c r="I96" i="3" s="1"/>
  <c r="G95" i="3"/>
  <c r="I95" i="3" s="1"/>
  <c r="G94" i="3"/>
  <c r="I94" i="3" s="1"/>
  <c r="G93" i="3"/>
  <c r="I93" i="3" s="1"/>
  <c r="G92" i="3"/>
  <c r="I92" i="3" s="1"/>
  <c r="G91" i="3"/>
  <c r="I91" i="3" s="1"/>
  <c r="G90" i="3"/>
  <c r="I90" i="3" s="1"/>
  <c r="G89" i="3"/>
  <c r="I89" i="3" s="1"/>
  <c r="G88" i="3"/>
  <c r="I88" i="3" s="1"/>
  <c r="G87" i="3"/>
  <c r="I87" i="3" s="1"/>
  <c r="G86" i="3"/>
  <c r="I86" i="3" s="1"/>
  <c r="G85" i="3"/>
  <c r="I85" i="3" s="1"/>
  <c r="G84" i="3"/>
  <c r="I84" i="3" s="1"/>
  <c r="G83" i="3"/>
  <c r="I83" i="3" s="1"/>
  <c r="G82" i="3"/>
  <c r="I82" i="3" s="1"/>
  <c r="G81" i="3"/>
  <c r="I81" i="3" s="1"/>
  <c r="G80" i="3"/>
  <c r="I80" i="3" s="1"/>
  <c r="G79" i="3"/>
  <c r="I79" i="3" s="1"/>
  <c r="G78" i="3"/>
  <c r="I78" i="3" s="1"/>
  <c r="G77" i="3"/>
  <c r="I77" i="3" s="1"/>
  <c r="G76" i="3"/>
  <c r="I76" i="3" s="1"/>
  <c r="G75" i="3"/>
  <c r="I75" i="3" s="1"/>
  <c r="G74" i="3"/>
  <c r="I74" i="3" s="1"/>
  <c r="G73" i="3"/>
  <c r="I73" i="3" s="1"/>
  <c r="G72" i="3"/>
  <c r="I72" i="3" s="1"/>
  <c r="G71" i="3"/>
  <c r="I71" i="3" s="1"/>
  <c r="G70" i="3"/>
  <c r="I70" i="3" s="1"/>
  <c r="G69" i="3"/>
  <c r="I69" i="3" s="1"/>
  <c r="G68" i="3"/>
  <c r="I68" i="3" s="1"/>
  <c r="G67" i="3"/>
  <c r="I67" i="3" s="1"/>
  <c r="G66" i="3"/>
  <c r="I66" i="3" s="1"/>
  <c r="G65" i="3"/>
  <c r="I65" i="3" s="1"/>
  <c r="G64" i="3"/>
  <c r="I64" i="3" s="1"/>
  <c r="G63" i="3"/>
  <c r="I63" i="3" s="1"/>
  <c r="G62" i="3"/>
  <c r="I62" i="3" s="1"/>
  <c r="G61" i="3"/>
  <c r="I61" i="3" s="1"/>
  <c r="G60" i="3"/>
  <c r="I60" i="3" s="1"/>
  <c r="G59" i="3"/>
  <c r="I59" i="3" s="1"/>
  <c r="G58" i="3"/>
  <c r="I58" i="3" s="1"/>
  <c r="G57" i="3"/>
  <c r="I57" i="3" s="1"/>
  <c r="G56" i="3"/>
  <c r="I56" i="3" s="1"/>
  <c r="G55" i="3"/>
  <c r="I55" i="3" s="1"/>
  <c r="G54" i="3"/>
  <c r="I54" i="3" s="1"/>
  <c r="G53" i="3"/>
  <c r="I53" i="3" s="1"/>
  <c r="G52" i="3"/>
  <c r="I52" i="3" s="1"/>
  <c r="G51" i="3"/>
  <c r="I51" i="3" s="1"/>
  <c r="G50" i="3"/>
  <c r="I50" i="3" s="1"/>
  <c r="G49" i="3"/>
  <c r="I49" i="3" s="1"/>
  <c r="G48" i="3"/>
  <c r="I48" i="3" s="1"/>
  <c r="G47" i="3"/>
  <c r="I47" i="3" s="1"/>
  <c r="G46" i="3"/>
  <c r="I46" i="3" s="1"/>
  <c r="G45" i="3"/>
  <c r="I45" i="3" s="1"/>
  <c r="G44" i="3"/>
  <c r="I44" i="3" s="1"/>
  <c r="G43" i="3"/>
  <c r="I43" i="3" s="1"/>
  <c r="G42" i="3"/>
  <c r="I42" i="3" s="1"/>
  <c r="G41" i="3"/>
  <c r="I41" i="3" s="1"/>
  <c r="G40" i="3"/>
  <c r="I40" i="3" s="1"/>
  <c r="G39" i="3"/>
  <c r="I39" i="3" s="1"/>
  <c r="G38" i="3"/>
  <c r="I38" i="3" s="1"/>
  <c r="G37" i="3"/>
  <c r="I37" i="3" s="1"/>
  <c r="G36" i="3"/>
  <c r="I36" i="3" s="1"/>
  <c r="G35" i="3"/>
  <c r="I35" i="3" s="1"/>
  <c r="G34" i="3"/>
  <c r="I34" i="3" s="1"/>
  <c r="G33" i="3"/>
  <c r="I33" i="3" s="1"/>
  <c r="G32" i="3"/>
  <c r="I32" i="3" s="1"/>
  <c r="G31" i="3"/>
  <c r="I31" i="3" s="1"/>
  <c r="G30" i="3"/>
  <c r="I30" i="3" s="1"/>
  <c r="G29" i="3"/>
  <c r="I29" i="3" s="1"/>
  <c r="G28" i="3"/>
  <c r="I28" i="3" s="1"/>
  <c r="G27" i="3"/>
  <c r="I27" i="3" s="1"/>
  <c r="G26" i="3"/>
  <c r="I26" i="3" s="1"/>
  <c r="G25" i="3"/>
  <c r="I25" i="3" s="1"/>
  <c r="G24" i="3"/>
  <c r="I24" i="3" s="1"/>
  <c r="G23" i="3"/>
  <c r="I23" i="3" s="1"/>
  <c r="G22" i="3"/>
  <c r="I22" i="3" s="1"/>
  <c r="G21" i="3"/>
  <c r="I21" i="3" s="1"/>
  <c r="G20" i="3"/>
  <c r="I20" i="3" s="1"/>
  <c r="G19" i="3"/>
  <c r="I19" i="3" s="1"/>
  <c r="G18" i="3"/>
  <c r="I18" i="3" s="1"/>
  <c r="G17" i="3"/>
  <c r="I17" i="3" s="1"/>
  <c r="G16" i="3"/>
  <c r="I16" i="3" s="1"/>
  <c r="G15" i="3"/>
  <c r="I15" i="3" s="1"/>
  <c r="G14" i="3"/>
  <c r="I14" i="3" s="1"/>
  <c r="G13" i="3"/>
  <c r="I13" i="3" s="1"/>
  <c r="G12" i="3"/>
  <c r="I12" i="3" s="1"/>
  <c r="G11" i="3"/>
  <c r="I11" i="3" s="1"/>
  <c r="G10" i="3"/>
  <c r="I10" i="3" s="1"/>
  <c r="G9" i="3"/>
  <c r="I9" i="3" s="1"/>
  <c r="G8" i="3"/>
  <c r="I8" i="3" s="1"/>
  <c r="G7" i="3"/>
  <c r="I7" i="3" s="1"/>
  <c r="G6" i="3"/>
  <c r="I6" i="3" s="1"/>
  <c r="G55" i="1"/>
  <c r="I55" i="1" s="1"/>
  <c r="G54" i="1"/>
  <c r="I54" i="1" s="1"/>
  <c r="G53" i="1"/>
  <c r="I53" i="1" s="1"/>
  <c r="G23" i="2"/>
  <c r="I23" i="2" s="1"/>
  <c r="D109" i="3" l="1"/>
  <c r="G52" i="1" l="1"/>
  <c r="I52" i="1" s="1"/>
  <c r="G51" i="1"/>
  <c r="I51" i="1" s="1"/>
  <c r="G50" i="1"/>
  <c r="I50" i="1" s="1"/>
  <c r="G22" i="2" l="1"/>
  <c r="I22" i="2" s="1"/>
  <c r="G49" i="1" l="1"/>
  <c r="I49" i="1" s="1"/>
  <c r="G39" i="1" l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20" i="2"/>
  <c r="I20" i="2" s="1"/>
  <c r="G21" i="2"/>
  <c r="I21" i="2" s="1"/>
  <c r="G18" i="2" l="1"/>
  <c r="I18" i="2" s="1"/>
  <c r="G19" i="2"/>
  <c r="I19" i="2" s="1"/>
  <c r="G17" i="2" l="1"/>
  <c r="I17" i="2" s="1"/>
  <c r="G16" i="2" l="1"/>
  <c r="I16" i="2" s="1"/>
  <c r="G15" i="2" l="1"/>
  <c r="I15" i="2" s="1"/>
  <c r="G13" i="2" l="1"/>
  <c r="I13" i="2" s="1"/>
  <c r="G14" i="2"/>
  <c r="I14" i="2" s="1"/>
  <c r="G38" i="1" l="1"/>
  <c r="I38" i="1" s="1"/>
  <c r="G12" i="2"/>
  <c r="I12" i="2" s="1"/>
  <c r="G37" i="1" l="1"/>
  <c r="I37" i="1" s="1"/>
  <c r="G36" i="1"/>
  <c r="I36" i="1" s="1"/>
  <c r="G35" i="1"/>
  <c r="I35" i="1" s="1"/>
  <c r="G34" i="1"/>
  <c r="I34" i="1" s="1"/>
  <c r="G11" i="2"/>
  <c r="I11" i="2" s="1"/>
  <c r="G10" i="2" l="1"/>
  <c r="I10" i="2" s="1"/>
  <c r="G33" i="1" l="1"/>
  <c r="I33" i="1" s="1"/>
  <c r="G32" i="1"/>
  <c r="I32" i="1" s="1"/>
  <c r="G31" i="1" l="1"/>
  <c r="I31" i="1" s="1"/>
  <c r="G30" i="1" l="1"/>
  <c r="I30" i="1" s="1"/>
  <c r="G29" i="1" l="1"/>
  <c r="I29" i="1" s="1"/>
  <c r="G28" i="1"/>
  <c r="I28" i="1" s="1"/>
  <c r="G27" i="1" l="1"/>
  <c r="I27" i="1" s="1"/>
  <c r="G26" i="1"/>
  <c r="I26" i="1" s="1"/>
  <c r="G24" i="1" l="1"/>
  <c r="I24" i="1" s="1"/>
  <c r="G25" i="1"/>
  <c r="I25" i="1" s="1"/>
  <c r="G23" i="1" l="1"/>
  <c r="I23" i="1" s="1"/>
  <c r="G22" i="1"/>
  <c r="I22" i="1" s="1"/>
  <c r="G9" i="2" l="1"/>
  <c r="I9" i="2" s="1"/>
  <c r="G8" i="2"/>
  <c r="I8" i="2" s="1"/>
  <c r="G7" i="2" l="1"/>
  <c r="I7" i="2" s="1"/>
  <c r="G6" i="2"/>
  <c r="I6" i="2" s="1"/>
  <c r="G19" i="1" l="1"/>
  <c r="I19" i="1" s="1"/>
  <c r="G20" i="1"/>
  <c r="I20" i="1" s="1"/>
  <c r="G21" i="1"/>
  <c r="I21" i="1" s="1"/>
  <c r="G18" i="1" l="1"/>
  <c r="I18" i="1" s="1"/>
  <c r="G17" i="1" l="1"/>
  <c r="I17" i="1" s="1"/>
  <c r="G16" i="1"/>
  <c r="I16" i="1" s="1"/>
  <c r="G15" i="1" l="1"/>
  <c r="I15" i="1" s="1"/>
  <c r="G14" i="1" l="1"/>
  <c r="I14" i="1" s="1"/>
  <c r="G13" i="1" l="1"/>
  <c r="I13" i="1" s="1"/>
  <c r="G10" i="1" l="1"/>
  <c r="G12" i="1"/>
  <c r="I12" i="1" s="1"/>
  <c r="I10" i="1" l="1"/>
  <c r="G11" i="1"/>
  <c r="I11" i="1" s="1"/>
  <c r="G9" i="1" l="1"/>
  <c r="I9" i="1" s="1"/>
  <c r="G8" i="1"/>
  <c r="I8" i="1" s="1"/>
  <c r="G6" i="1"/>
  <c r="I6" i="1" s="1"/>
  <c r="G7" i="1" l="1"/>
  <c r="I7" i="1" s="1"/>
  <c r="D125" i="1" l="1"/>
  <c r="D127" i="1" l="1"/>
  <c r="D128" i="1" s="1"/>
</calcChain>
</file>

<file path=xl/comments1.xml><?xml version="1.0" encoding="utf-8"?>
<comments xmlns="http://schemas.openxmlformats.org/spreadsheetml/2006/main">
  <authors>
    <author>Marcela Oliveira do Carmo (CEDEC)</author>
  </authors>
  <commentList>
    <comment ref="C12" authorId="0">
      <text>
        <r>
          <rPr>
            <b/>
            <sz val="9"/>
            <color indexed="81"/>
            <rFont val="Tahoma"/>
            <family val="2"/>
          </rPr>
          <t>Marcela Oliveira do Carmo (CEDEC):</t>
        </r>
        <r>
          <rPr>
            <sz val="9"/>
            <color indexed="81"/>
            <rFont val="Tahoma"/>
            <family val="2"/>
          </rPr>
          <t xml:space="preserve">
este processo foi arquivado. </t>
        </r>
      </text>
    </comment>
  </commentList>
</comments>
</file>

<file path=xl/sharedStrings.xml><?xml version="1.0" encoding="utf-8"?>
<sst xmlns="http://schemas.openxmlformats.org/spreadsheetml/2006/main" count="1109" uniqueCount="175">
  <si>
    <t>MUNICÍPIO</t>
  </si>
  <si>
    <t>DECRETO MUNICIPAL</t>
  </si>
  <si>
    <t>VENCIMENTO</t>
  </si>
  <si>
    <t>DESASTRE</t>
  </si>
  <si>
    <t>PORTARIA RECONHECIMENTO</t>
  </si>
  <si>
    <t>Nº e data</t>
  </si>
  <si>
    <t>NR</t>
  </si>
  <si>
    <t>DATA</t>
  </si>
  <si>
    <t>VIGÊNCIA</t>
  </si>
  <si>
    <t>DIAS RESTANTES</t>
  </si>
  <si>
    <t>Quant.</t>
  </si>
  <si>
    <t>OBS: OS CAMPOS MARCADOS DE AMARELO FORAM MODIFICADOS RECENTEMENTE.</t>
  </si>
  <si>
    <t>DATA DA ENTRADA</t>
  </si>
  <si>
    <t xml:space="preserve"> </t>
  </si>
  <si>
    <t>SECA</t>
  </si>
  <si>
    <t>ESTIAGEM</t>
  </si>
  <si>
    <t>Total Seca</t>
  </si>
  <si>
    <t>Total Estiagem</t>
  </si>
  <si>
    <t>VARZELÂNDIA</t>
  </si>
  <si>
    <t>MANGA</t>
  </si>
  <si>
    <t>GAMELEIRAS</t>
  </si>
  <si>
    <t>BOTUMIRIM</t>
  </si>
  <si>
    <t>PONTO DOS VOLANTES</t>
  </si>
  <si>
    <t>SÃO FRANCISCO</t>
  </si>
  <si>
    <t>MAMONAS</t>
  </si>
  <si>
    <t>JOSENÓPOLIS</t>
  </si>
  <si>
    <t>ARINOS</t>
  </si>
  <si>
    <t>PORTEIRINHA</t>
  </si>
  <si>
    <t>ITINGA</t>
  </si>
  <si>
    <t>VIRGEM DA LAPA</t>
  </si>
  <si>
    <t>CLARO DOS POÇÕES</t>
  </si>
  <si>
    <t>PADRE CARVALHO</t>
  </si>
  <si>
    <t>JOSÉ GONÇALVES DE MINAS</t>
  </si>
  <si>
    <t>ESPINOSA</t>
  </si>
  <si>
    <t>JANAÚBA</t>
  </si>
  <si>
    <t>JUVENÍLIA</t>
  </si>
  <si>
    <t>ITAOBIM</t>
  </si>
  <si>
    <t>RUBELITA</t>
  </si>
  <si>
    <t>BONITO DE MINAS</t>
  </si>
  <si>
    <t>RIO PARDO DE MINAS</t>
  </si>
  <si>
    <t>GUARACIAMA</t>
  </si>
  <si>
    <t>BRASÍLIA DE MINAS</t>
  </si>
  <si>
    <t>DIVISÓPOLIS</t>
  </si>
  <si>
    <t>JAÍBA</t>
  </si>
  <si>
    <t>CACHOEIRA DE PAJEÚ</t>
  </si>
  <si>
    <t>Vigentes Estiagem_Seca - 2017/2018</t>
  </si>
  <si>
    <t>PIRAPORA</t>
  </si>
  <si>
    <t>CATUTI</t>
  </si>
  <si>
    <t>URUCUIA</t>
  </si>
  <si>
    <t>MATO VERDE</t>
  </si>
  <si>
    <t>ALMENARA</t>
  </si>
  <si>
    <t>ENGENHEIRO NAVARRO</t>
  </si>
  <si>
    <t>BURITIZEIRO</t>
  </si>
  <si>
    <t>CÔNEGO MARINHO</t>
  </si>
  <si>
    <t>SÃO ROMÃO</t>
  </si>
  <si>
    <t>BERILO</t>
  </si>
  <si>
    <t>AUGUSTO DE LIMA</t>
  </si>
  <si>
    <t>CORONEL MURTA</t>
  </si>
  <si>
    <t>SERRANÓPOLIS DE MINAS</t>
  </si>
  <si>
    <t>IBIAÍ</t>
  </si>
  <si>
    <t>NOVA PORTEIRINHA</t>
  </si>
  <si>
    <t>MONTE AZUL</t>
  </si>
  <si>
    <t>GLAUCILÂNDIA</t>
  </si>
  <si>
    <t>BIQUINHAS</t>
  </si>
  <si>
    <t>ARAÇUAÍ</t>
  </si>
  <si>
    <t>MIRABELA</t>
  </si>
  <si>
    <t>CHAPADA GAÚCHA</t>
  </si>
  <si>
    <t>PINTÓPOLIS</t>
  </si>
  <si>
    <t>MONTEZUMA</t>
  </si>
  <si>
    <t>JEQUITAÍ</t>
  </si>
  <si>
    <t>FRUTA DE LEITE</t>
  </si>
  <si>
    <t>MONTES CLAROS</t>
  </si>
  <si>
    <t>CORAÇÃO DE JESUS</t>
  </si>
  <si>
    <t>RUBIM</t>
  </si>
  <si>
    <t>TAIOBEIRAS</t>
  </si>
  <si>
    <t>FRANCISCO DUMONT</t>
  </si>
  <si>
    <t>MIRAVÂNIA</t>
  </si>
  <si>
    <t>VERDELÂNDIA</t>
  </si>
  <si>
    <t>GRÃO MOGOL</t>
  </si>
  <si>
    <t>SALINAS</t>
  </si>
  <si>
    <t>LONTRA</t>
  </si>
  <si>
    <t>INDAIABIRA</t>
  </si>
  <si>
    <t>MATIAS CARDOSO</t>
  </si>
  <si>
    <t xml:space="preserve">ICARAÍ DE MINAS </t>
  </si>
  <si>
    <t>Total de Decretos</t>
  </si>
  <si>
    <t>JANUÁRIA</t>
  </si>
  <si>
    <t>SÃO JOÃO DO PARAÍSO</t>
  </si>
  <si>
    <t>BOCAIÚVA</t>
  </si>
  <si>
    <t>JURAMENTO</t>
  </si>
  <si>
    <t>FRANCISCO SÁ</t>
  </si>
  <si>
    <t>SÃO JOÃO DA PONTE</t>
  </si>
  <si>
    <t>IBIRACATU</t>
  </si>
  <si>
    <t>VÁRZEA DA PALMA</t>
  </si>
  <si>
    <t>SÃO JOÃO DA LAGOA</t>
  </si>
  <si>
    <t>UBAÍ</t>
  </si>
  <si>
    <t>RIACHO DOS MACHADOS</t>
  </si>
  <si>
    <t>JAPONVAR</t>
  </si>
  <si>
    <t>LAGOA DOS PATOS</t>
  </si>
  <si>
    <t>CARBONITA</t>
  </si>
  <si>
    <t>ITACARAMBI</t>
  </si>
  <si>
    <t>ITACAMBIRA</t>
  </si>
  <si>
    <t>PAI PEDRO</t>
  </si>
  <si>
    <t>LUISLÂNDIA</t>
  </si>
  <si>
    <t>SANTA FÉ DE MINAS</t>
  </si>
  <si>
    <t>PEDRAS DE MARIA DA CRUZ</t>
  </si>
  <si>
    <t>LASSANCE</t>
  </si>
  <si>
    <t>CAMPO AZUL</t>
  </si>
  <si>
    <t>BERIZAL</t>
  </si>
  <si>
    <t>FELÍCIO DOS SANTOS</t>
  </si>
  <si>
    <t>PONTO CHIQUE</t>
  </si>
  <si>
    <t>CAPITÃO ENÉAS</t>
  </si>
  <si>
    <t>MONTES CLAROS*</t>
  </si>
  <si>
    <t>MIRAVÂNIA*</t>
  </si>
  <si>
    <t>IBIRACATU*</t>
  </si>
  <si>
    <t>FRANCISCO SÁ*</t>
  </si>
  <si>
    <t>SÃO JOÃO DA PONTE*</t>
  </si>
  <si>
    <t>TAIOBEIRAS*</t>
  </si>
  <si>
    <t>*DOIS DECRETOS VIGENTES</t>
  </si>
  <si>
    <t>NINHEIRA</t>
  </si>
  <si>
    <t>NOVO CRUZEIRO</t>
  </si>
  <si>
    <t>SANTO ANTÔNIO DO JACINTO</t>
  </si>
  <si>
    <t>FELÍCIO DOS SANTOS*</t>
  </si>
  <si>
    <t>MINAS NOVAS</t>
  </si>
  <si>
    <t>VEREDINHA</t>
  </si>
  <si>
    <t>MUNICÍPIOS - 86</t>
  </si>
  <si>
    <t>CHAPADA DO NORTE</t>
  </si>
  <si>
    <t>BANDEIRA</t>
  </si>
  <si>
    <t>PEDRA AZUL</t>
  </si>
  <si>
    <t>DIVISA ALEGRE</t>
  </si>
  <si>
    <t>FELISBURGO</t>
  </si>
  <si>
    <t>JEQUITINHONHA</t>
  </si>
  <si>
    <t>ESTADO</t>
  </si>
  <si>
    <t>UNIÃO</t>
  </si>
  <si>
    <t>PMDA</t>
  </si>
  <si>
    <t>ANÁLISE</t>
  </si>
  <si>
    <t>RECONHECIDO</t>
  </si>
  <si>
    <t>HOMOLOGADO</t>
  </si>
  <si>
    <t>ARQUIVADO</t>
  </si>
  <si>
    <t xml:space="preserve">HOMOLOGADO </t>
  </si>
  <si>
    <t>SEI</t>
  </si>
  <si>
    <t>NÃO RECONHECIDO</t>
  </si>
  <si>
    <t>XX</t>
  </si>
  <si>
    <t>ANALISANDO</t>
  </si>
  <si>
    <t>SÃO JOÃO DAS MISSÕES</t>
  </si>
  <si>
    <t>SANTA CRUZ DE SALINAS</t>
  </si>
  <si>
    <t>JACINTO</t>
  </si>
  <si>
    <t>OLHOS  D´AGUA</t>
  </si>
  <si>
    <t>FRANCISCO  DUMONT</t>
  </si>
  <si>
    <t>Total de Municípios</t>
  </si>
  <si>
    <t>MATA VERDE</t>
  </si>
  <si>
    <t>COMERCINHO</t>
  </si>
  <si>
    <t>LEME DO PRADO</t>
  </si>
  <si>
    <t>SÃO JOÃO DO PACUÍ</t>
  </si>
  <si>
    <t>JOAÍMA</t>
  </si>
  <si>
    <t>MEDINA</t>
  </si>
  <si>
    <t>NOVORIZONTE</t>
  </si>
  <si>
    <t>VARGEM GRANDE DO RIO PARDO</t>
  </si>
  <si>
    <t>RIO DO PRADO</t>
  </si>
  <si>
    <t>REGISTRO EXCLUÍDO</t>
  </si>
  <si>
    <t>CARAÍ</t>
  </si>
  <si>
    <t>MACHACALIS</t>
  </si>
  <si>
    <t>ENGENHEIRO NAVARO</t>
  </si>
  <si>
    <t>*</t>
  </si>
  <si>
    <t>BERTÓPOLIS</t>
  </si>
  <si>
    <t>NOVO ORIENTE DE MINAS</t>
  </si>
  <si>
    <t>SENADOR MODESTINO GONÇALVES</t>
  </si>
  <si>
    <t>SANTA MARIA DO SALTO</t>
  </si>
  <si>
    <t>H</t>
  </si>
  <si>
    <t>LADAINHA</t>
  </si>
  <si>
    <t>APROVADO</t>
  </si>
  <si>
    <t>MORRO DA GARÇA</t>
  </si>
  <si>
    <t>SÃO GERALDO DO BAIXIO</t>
  </si>
  <si>
    <t>JORDÂNIA</t>
  </si>
  <si>
    <t>MONTE FORMOSO</t>
  </si>
  <si>
    <t>21/11/2018 09:17h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</si>
</sst>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dd/mm/yy"/>
    <numFmt numFmtId="166" formatCode="dd&quot;/&quot;mm&quot;/&quot;yyyy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2F2F2F"/>
      <name val="Segoe UI"/>
      <family val="2"/>
    </font>
    <font>
      <sz val="10"/>
      <color rgb="FF000000"/>
      <name val="Calibri"/>
      <family val="2"/>
    </font>
    <font>
      <sz val="8"/>
      <color theme="1"/>
      <name val="Calibri"/>
      <family val="2"/>
      <scheme val="minor"/>
    </font>
    <font>
      <b/>
      <sz val="10"/>
      <name val="Calibri"/>
      <family val="2"/>
    </font>
    <font>
      <sz val="2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9" tint="0.59999389629810485"/>
        <bgColor rgb="FFFBD4B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BD4B4"/>
      </patternFill>
    </fill>
    <fill>
      <patternFill patternType="solid">
        <fgColor rgb="FFFF0000"/>
        <bgColor rgb="FFFF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F0B10"/>
        <bgColor rgb="FFFFFFFF"/>
      </patternFill>
    </fill>
    <fill>
      <patternFill patternType="solid">
        <fgColor rgb="FFEF0B1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2" fillId="0" borderId="0"/>
    <xf numFmtId="0" fontId="3" fillId="0" borderId="0"/>
    <xf numFmtId="0" fontId="4" fillId="0" borderId="0" applyNumberFormat="0" applyFont="0" applyFill="0" applyBorder="0">
      <alignment vertical="center" wrapText="1"/>
    </xf>
    <xf numFmtId="164" fontId="4" fillId="0" borderId="0" applyFont="0" applyFill="0" applyBorder="0" applyAlignment="0" applyProtection="0"/>
    <xf numFmtId="0" fontId="4" fillId="0" borderId="0" applyNumberFormat="0" applyFont="0" applyFill="0" applyBorder="0">
      <alignment vertical="center" wrapText="1"/>
    </xf>
    <xf numFmtId="0" fontId="1" fillId="0" borderId="0"/>
    <xf numFmtId="0" fontId="3" fillId="0" borderId="0"/>
    <xf numFmtId="0" fontId="3" fillId="0" borderId="0"/>
    <xf numFmtId="0" fontId="4" fillId="0" borderId="0" applyNumberFormat="0" applyFont="0" applyFill="0" applyBorder="0">
      <alignment vertical="center" wrapText="1"/>
    </xf>
    <xf numFmtId="0" fontId="3" fillId="0" borderId="0"/>
    <xf numFmtId="0" fontId="3" fillId="0" borderId="0"/>
    <xf numFmtId="0" fontId="4" fillId="0" borderId="0" applyNumberFormat="0" applyFont="0" applyFill="0" applyBorder="0">
      <alignment vertical="center" wrapText="1"/>
    </xf>
    <xf numFmtId="0" fontId="3" fillId="0" borderId="0"/>
    <xf numFmtId="0" fontId="3" fillId="0" borderId="0"/>
    <xf numFmtId="0" fontId="4" fillId="0" borderId="0" applyNumberFormat="0" applyFont="0" applyFill="0" applyBorder="0">
      <alignment vertical="center" wrapText="1"/>
    </xf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</cellStyleXfs>
  <cellXfs count="246">
    <xf numFmtId="0" fontId="0" fillId="0" borderId="0" xfId="0"/>
    <xf numFmtId="0" fontId="8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1" fontId="6" fillId="3" borderId="1" xfId="9" applyNumberFormat="1" applyFont="1" applyFill="1" applyBorder="1" applyAlignment="1">
      <alignment horizontal="center"/>
    </xf>
    <xf numFmtId="49" fontId="6" fillId="3" borderId="1" xfId="1" applyNumberFormat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10" fillId="0" borderId="0" xfId="1" applyFont="1" applyFill="1" applyAlignment="1">
      <alignment vertical="center"/>
    </xf>
    <xf numFmtId="0" fontId="10" fillId="0" borderId="2" xfId="1" applyFont="1" applyFill="1" applyBorder="1" applyAlignment="1">
      <alignment vertical="center"/>
    </xf>
    <xf numFmtId="0" fontId="6" fillId="3" borderId="9" xfId="1" applyNumberFormat="1" applyFont="1" applyFill="1" applyBorder="1" applyAlignment="1">
      <alignment vertical="center"/>
    </xf>
    <xf numFmtId="165" fontId="6" fillId="3" borderId="3" xfId="9" applyNumberFormat="1" applyFont="1" applyFill="1" applyBorder="1" applyAlignment="1">
      <alignment vertical="center"/>
    </xf>
    <xf numFmtId="0" fontId="6" fillId="3" borderId="11" xfId="1" applyNumberFormat="1" applyFont="1" applyFill="1" applyBorder="1" applyAlignment="1">
      <alignment vertical="center"/>
    </xf>
    <xf numFmtId="0" fontId="6" fillId="3" borderId="13" xfId="1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8" fillId="0" borderId="1" xfId="0" applyNumberFormat="1" applyFont="1" applyBorder="1" applyAlignment="1"/>
    <xf numFmtId="0" fontId="5" fillId="0" borderId="0" xfId="0" applyFont="1" applyFill="1" applyBorder="1" applyAlignment="1">
      <alignment horizontal="center" vertical="center"/>
    </xf>
    <xf numFmtId="0" fontId="0" fillId="4" borderId="1" xfId="0" applyFill="1" applyBorder="1"/>
    <xf numFmtId="0" fontId="5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/>
    <xf numFmtId="0" fontId="9" fillId="0" borderId="1" xfId="0" applyFont="1" applyBorder="1" applyAlignment="1">
      <alignment horizontal="center"/>
    </xf>
    <xf numFmtId="0" fontId="11" fillId="5" borderId="1" xfId="0" applyFont="1" applyFill="1" applyBorder="1"/>
    <xf numFmtId="0" fontId="12" fillId="6" borderId="1" xfId="0" applyFont="1" applyFill="1" applyBorder="1"/>
    <xf numFmtId="166" fontId="13" fillId="0" borderId="14" xfId="0" applyNumberFormat="1" applyFont="1" applyBorder="1" applyAlignment="1">
      <alignment horizontal="center" vertical="center"/>
    </xf>
    <xf numFmtId="0" fontId="13" fillId="7" borderId="14" xfId="0" applyFont="1" applyFill="1" applyBorder="1" applyAlignment="1">
      <alignment horizontal="left" vertical="center"/>
    </xf>
    <xf numFmtId="166" fontId="13" fillId="8" borderId="14" xfId="0" applyNumberFormat="1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166" fontId="13" fillId="0" borderId="15" xfId="0" applyNumberFormat="1" applyFont="1" applyBorder="1" applyAlignment="1">
      <alignment horizontal="center" vertical="center"/>
    </xf>
    <xf numFmtId="0" fontId="13" fillId="7" borderId="15" xfId="0" applyFont="1" applyFill="1" applyBorder="1" applyAlignment="1">
      <alignment horizontal="left" vertical="center"/>
    </xf>
    <xf numFmtId="0" fontId="13" fillId="8" borderId="15" xfId="0" applyFont="1" applyFill="1" applyBorder="1" applyAlignment="1">
      <alignment horizontal="center" vertical="center"/>
    </xf>
    <xf numFmtId="166" fontId="13" fillId="8" borderId="15" xfId="0" applyNumberFormat="1" applyFont="1" applyFill="1" applyBorder="1" applyAlignment="1">
      <alignment horizontal="center" vertical="center"/>
    </xf>
    <xf numFmtId="166" fontId="13" fillId="8" borderId="15" xfId="0" applyNumberFormat="1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166" fontId="13" fillId="8" borderId="16" xfId="0" applyNumberFormat="1" applyFont="1" applyFill="1" applyBorder="1" applyAlignment="1">
      <alignment horizontal="center" vertical="center" wrapText="1"/>
    </xf>
    <xf numFmtId="0" fontId="13" fillId="7" borderId="16" xfId="0" applyFont="1" applyFill="1" applyBorder="1" applyAlignment="1">
      <alignment horizontal="left" vertical="center"/>
    </xf>
    <xf numFmtId="14" fontId="5" fillId="0" borderId="4" xfId="0" applyNumberFormat="1" applyFont="1" applyBorder="1" applyAlignment="1"/>
    <xf numFmtId="14" fontId="8" fillId="0" borderId="4" xfId="0" applyNumberFormat="1" applyFont="1" applyBorder="1" applyAlignment="1"/>
    <xf numFmtId="0" fontId="8" fillId="0" borderId="4" xfId="0" applyFont="1" applyBorder="1" applyAlignment="1">
      <alignment horizontal="center"/>
    </xf>
    <xf numFmtId="0" fontId="13" fillId="8" borderId="17" xfId="0" applyFont="1" applyFill="1" applyBorder="1" applyAlignment="1">
      <alignment horizontal="center" vertical="center"/>
    </xf>
    <xf numFmtId="166" fontId="13" fillId="8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166" fontId="13" fillId="9" borderId="1" xfId="0" applyNumberFormat="1" applyFont="1" applyFill="1" applyBorder="1" applyAlignment="1">
      <alignment horizontal="center" vertical="center"/>
    </xf>
    <xf numFmtId="166" fontId="13" fillId="9" borderId="16" xfId="0" applyNumberFormat="1" applyFont="1" applyFill="1" applyBorder="1" applyAlignment="1">
      <alignment horizontal="center" vertical="center"/>
    </xf>
    <xf numFmtId="0" fontId="13" fillId="9" borderId="16" xfId="0" applyFont="1" applyFill="1" applyBorder="1" applyAlignment="1">
      <alignment horizontal="center" vertical="center"/>
    </xf>
    <xf numFmtId="3" fontId="14" fillId="2" borderId="14" xfId="0" applyNumberFormat="1" applyFont="1" applyFill="1" applyBorder="1" applyAlignment="1">
      <alignment horizontal="center" vertical="center"/>
    </xf>
    <xf numFmtId="166" fontId="14" fillId="2" borderId="14" xfId="0" applyNumberFormat="1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3" fontId="14" fillId="2" borderId="17" xfId="0" applyNumberFormat="1" applyFont="1" applyFill="1" applyBorder="1" applyAlignment="1">
      <alignment horizontal="center" vertical="center"/>
    </xf>
    <xf numFmtId="166" fontId="14" fillId="2" borderId="17" xfId="0" applyNumberFormat="1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3" fontId="14" fillId="2" borderId="1" xfId="0" applyNumberFormat="1" applyFont="1" applyFill="1" applyBorder="1" applyAlignment="1">
      <alignment horizontal="center" vertical="center"/>
    </xf>
    <xf numFmtId="166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66" fontId="13" fillId="9" borderId="15" xfId="0" applyNumberFormat="1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/>
    <xf numFmtId="0" fontId="13" fillId="0" borderId="1" xfId="0" applyFont="1" applyBorder="1" applyAlignment="1">
      <alignment horizontal="center" vertical="center"/>
    </xf>
    <xf numFmtId="14" fontId="5" fillId="0" borderId="1" xfId="0" applyNumberFormat="1" applyFont="1" applyFill="1" applyBorder="1" applyAlignment="1"/>
    <xf numFmtId="0" fontId="0" fillId="0" borderId="1" xfId="0" applyBorder="1"/>
    <xf numFmtId="0" fontId="8" fillId="0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left" vertical="center"/>
    </xf>
    <xf numFmtId="0" fontId="13" fillId="9" borderId="14" xfId="0" applyFont="1" applyFill="1" applyBorder="1" applyAlignment="1">
      <alignment horizontal="center" vertical="center"/>
    </xf>
    <xf numFmtId="3" fontId="14" fillId="0" borderId="16" xfId="0" applyNumberFormat="1" applyFont="1" applyBorder="1" applyAlignment="1">
      <alignment horizontal="center" vertical="center"/>
    </xf>
    <xf numFmtId="166" fontId="13" fillId="9" borderId="14" xfId="0" applyNumberFormat="1" applyFont="1" applyFill="1" applyBorder="1" applyAlignment="1">
      <alignment horizontal="center" vertical="center"/>
    </xf>
    <xf numFmtId="166" fontId="14" fillId="0" borderId="16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8" fillId="11" borderId="1" xfId="0" applyFont="1" applyFill="1" applyBorder="1" applyAlignment="1">
      <alignment horizontal="center"/>
    </xf>
    <xf numFmtId="166" fontId="13" fillId="8" borderId="4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8" fillId="0" borderId="4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3" fontId="14" fillId="2" borderId="4" xfId="0" applyNumberFormat="1" applyFont="1" applyFill="1" applyBorder="1" applyAlignment="1">
      <alignment horizontal="center" vertical="center"/>
    </xf>
    <xf numFmtId="166" fontId="14" fillId="2" borderId="4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/>
    <xf numFmtId="0" fontId="14" fillId="12" borderId="14" xfId="0" applyFont="1" applyFill="1" applyBorder="1" applyAlignment="1">
      <alignment horizontal="left" vertical="center"/>
    </xf>
    <xf numFmtId="0" fontId="14" fillId="12" borderId="17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left" vertical="center"/>
    </xf>
    <xf numFmtId="3" fontId="14" fillId="0" borderId="1" xfId="0" applyNumberFormat="1" applyFont="1" applyFill="1" applyBorder="1" applyAlignment="1">
      <alignment horizontal="center" vertical="center"/>
    </xf>
    <xf numFmtId="166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/>
    </xf>
    <xf numFmtId="166" fontId="14" fillId="2" borderId="8" xfId="0" applyNumberFormat="1" applyFont="1" applyFill="1" applyBorder="1" applyAlignment="1">
      <alignment horizontal="center" vertical="center"/>
    </xf>
    <xf numFmtId="0" fontId="14" fillId="12" borderId="0" xfId="0" applyFont="1" applyFill="1" applyBorder="1" applyAlignment="1">
      <alignment horizontal="left" vertical="center"/>
    </xf>
    <xf numFmtId="0" fontId="17" fillId="0" borderId="0" xfId="0" applyFont="1"/>
    <xf numFmtId="166" fontId="18" fillId="0" borderId="1" xfId="0" applyNumberFormat="1" applyFont="1" applyBorder="1"/>
    <xf numFmtId="0" fontId="13" fillId="12" borderId="1" xfId="0" applyFont="1" applyFill="1" applyBorder="1" applyAlignment="1">
      <alignment horizontal="left" vertical="center"/>
    </xf>
    <xf numFmtId="0" fontId="0" fillId="0" borderId="0" xfId="0" applyBorder="1"/>
    <xf numFmtId="0" fontId="19" fillId="0" borderId="0" xfId="0" applyFont="1"/>
    <xf numFmtId="0" fontId="11" fillId="0" borderId="1" xfId="0" applyFont="1" applyBorder="1"/>
    <xf numFmtId="0" fontId="13" fillId="8" borderId="3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left" vertical="center"/>
    </xf>
    <xf numFmtId="0" fontId="0" fillId="0" borderId="1" xfId="0" applyFill="1" applyBorder="1"/>
    <xf numFmtId="0" fontId="9" fillId="4" borderId="1" xfId="0" applyFont="1" applyFill="1" applyBorder="1" applyAlignment="1">
      <alignment horizontal="center"/>
    </xf>
    <xf numFmtId="0" fontId="14" fillId="15" borderId="1" xfId="0" applyFont="1" applyFill="1" applyBorder="1" applyAlignment="1">
      <alignment horizontal="left" vertical="center"/>
    </xf>
    <xf numFmtId="0" fontId="14" fillId="16" borderId="1" xfId="0" applyFont="1" applyFill="1" applyBorder="1" applyAlignment="1">
      <alignment horizontal="left" vertical="center"/>
    </xf>
    <xf numFmtId="3" fontId="14" fillId="16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center"/>
    </xf>
    <xf numFmtId="166" fontId="13" fillId="16" borderId="1" xfId="0" applyNumberFormat="1" applyFont="1" applyFill="1" applyBorder="1" applyAlignment="1">
      <alignment horizontal="center" vertical="center"/>
    </xf>
    <xf numFmtId="0" fontId="8" fillId="16" borderId="4" xfId="0" applyFont="1" applyFill="1" applyBorder="1" applyAlignment="1">
      <alignment horizontal="center"/>
    </xf>
    <xf numFmtId="166" fontId="13" fillId="15" borderId="1" xfId="0" applyNumberFormat="1" applyFont="1" applyFill="1" applyBorder="1" applyAlignment="1">
      <alignment horizontal="center" vertical="center" wrapText="1"/>
    </xf>
    <xf numFmtId="166" fontId="18" fillId="16" borderId="1" xfId="0" applyNumberFormat="1" applyFont="1" applyFill="1" applyBorder="1"/>
    <xf numFmtId="0" fontId="0" fillId="16" borderId="1" xfId="0" applyFill="1" applyBorder="1"/>
    <xf numFmtId="0" fontId="13" fillId="15" borderId="1" xfId="0" applyFont="1" applyFill="1" applyBorder="1" applyAlignment="1">
      <alignment horizontal="center" vertical="center"/>
    </xf>
    <xf numFmtId="166" fontId="14" fillId="16" borderId="1" xfId="0" applyNumberFormat="1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/>
    </xf>
    <xf numFmtId="14" fontId="5" fillId="16" borderId="1" xfId="0" applyNumberFormat="1" applyFont="1" applyFill="1" applyBorder="1" applyAlignment="1"/>
    <xf numFmtId="0" fontId="14" fillId="15" borderId="14" xfId="0" applyFont="1" applyFill="1" applyBorder="1" applyAlignment="1">
      <alignment horizontal="left" vertical="center"/>
    </xf>
    <xf numFmtId="0" fontId="13" fillId="18" borderId="1" xfId="0" applyFont="1" applyFill="1" applyBorder="1" applyAlignment="1">
      <alignment horizontal="center" vertical="center"/>
    </xf>
    <xf numFmtId="166" fontId="13" fillId="18" borderId="1" xfId="0" applyNumberFormat="1" applyFont="1" applyFill="1" applyBorder="1" applyAlignment="1">
      <alignment horizontal="center" vertical="center"/>
    </xf>
    <xf numFmtId="14" fontId="8" fillId="16" borderId="1" xfId="0" applyNumberFormat="1" applyFont="1" applyFill="1" applyBorder="1" applyAlignment="1"/>
    <xf numFmtId="0" fontId="13" fillId="16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20" fillId="12" borderId="1" xfId="0" applyFont="1" applyFill="1" applyBorder="1" applyAlignment="1">
      <alignment horizontal="left" vertical="center"/>
    </xf>
    <xf numFmtId="0" fontId="20" fillId="10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3" fillId="0" borderId="1" xfId="0" applyFont="1" applyBorder="1" applyAlignment="1">
      <alignment horizontal="center"/>
    </xf>
    <xf numFmtId="165" fontId="6" fillId="3" borderId="18" xfId="9" applyNumberFormat="1" applyFont="1" applyFill="1" applyBorder="1" applyAlignment="1">
      <alignment vertical="center"/>
    </xf>
    <xf numFmtId="1" fontId="6" fillId="3" borderId="19" xfId="9" applyNumberFormat="1" applyFont="1" applyFill="1" applyBorder="1" applyAlignment="1">
      <alignment horizontal="center"/>
    </xf>
    <xf numFmtId="0" fontId="7" fillId="3" borderId="19" xfId="1" applyFont="1" applyFill="1" applyBorder="1" applyAlignment="1">
      <alignment horizontal="center"/>
    </xf>
    <xf numFmtId="0" fontId="13" fillId="8" borderId="18" xfId="0" applyFont="1" applyFill="1" applyBorder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8" fillId="21" borderId="0" xfId="0" applyFont="1" applyFill="1"/>
    <xf numFmtId="0" fontId="22" fillId="21" borderId="2" xfId="1" applyFont="1" applyFill="1" applyBorder="1" applyAlignment="1">
      <alignment vertical="center"/>
    </xf>
    <xf numFmtId="0" fontId="10" fillId="21" borderId="2" xfId="1" applyFont="1" applyFill="1" applyBorder="1" applyAlignment="1">
      <alignment vertical="center"/>
    </xf>
    <xf numFmtId="0" fontId="0" fillId="0" borderId="1" xfId="0" applyBorder="1"/>
    <xf numFmtId="166" fontId="18" fillId="0" borderId="4" xfId="0" applyNumberFormat="1" applyFont="1" applyBorder="1"/>
    <xf numFmtId="0" fontId="0" fillId="0" borderId="4" xfId="0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0" fillId="21" borderId="1" xfId="0" applyFill="1" applyBorder="1"/>
    <xf numFmtId="3" fontId="13" fillId="2" borderId="1" xfId="0" applyNumberFormat="1" applyFont="1" applyFill="1" applyBorder="1" applyAlignment="1">
      <alignment horizontal="center" vertical="center"/>
    </xf>
    <xf numFmtId="166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6" fontId="18" fillId="2" borderId="1" xfId="0" applyNumberFormat="1" applyFont="1" applyFill="1" applyBorder="1"/>
    <xf numFmtId="3" fontId="14" fillId="0" borderId="1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1" xfId="0" applyBorder="1"/>
    <xf numFmtId="0" fontId="0" fillId="21" borderId="0" xfId="0" applyFill="1" applyBorder="1"/>
    <xf numFmtId="0" fontId="5" fillId="0" borderId="19" xfId="0" applyFont="1" applyFill="1" applyBorder="1" applyAlignment="1">
      <alignment horizontal="center" vertical="center"/>
    </xf>
    <xf numFmtId="0" fontId="0" fillId="0" borderId="1" xfId="0" applyBorder="1"/>
    <xf numFmtId="0" fontId="13" fillId="12" borderId="4" xfId="0" applyFont="1" applyFill="1" applyBorder="1" applyAlignment="1">
      <alignment horizontal="left" vertical="center"/>
    </xf>
    <xf numFmtId="3" fontId="13" fillId="2" borderId="4" xfId="0" applyNumberFormat="1" applyFont="1" applyFill="1" applyBorder="1" applyAlignment="1">
      <alignment horizontal="center" vertical="center"/>
    </xf>
    <xf numFmtId="166" fontId="13" fillId="2" borderId="4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166" fontId="18" fillId="2" borderId="4" xfId="0" applyNumberFormat="1" applyFont="1" applyFill="1" applyBorder="1"/>
    <xf numFmtId="0" fontId="11" fillId="0" borderId="0" xfId="0" applyFont="1" applyBorder="1"/>
    <xf numFmtId="0" fontId="11" fillId="6" borderId="1" xfId="0" applyFont="1" applyFill="1" applyBorder="1"/>
    <xf numFmtId="0" fontId="0" fillId="0" borderId="1" xfId="0" applyBorder="1"/>
    <xf numFmtId="0" fontId="0" fillId="0" borderId="1" xfId="0" applyBorder="1"/>
    <xf numFmtId="0" fontId="9" fillId="0" borderId="4" xfId="0" applyFont="1" applyBorder="1" applyAlignment="1">
      <alignment horizontal="center"/>
    </xf>
    <xf numFmtId="0" fontId="13" fillId="7" borderId="4" xfId="0" applyFont="1" applyFill="1" applyBorder="1" applyAlignment="1">
      <alignment horizontal="left" vertical="center"/>
    </xf>
    <xf numFmtId="0" fontId="13" fillId="9" borderId="4" xfId="0" applyFont="1" applyFill="1" applyBorder="1" applyAlignment="1">
      <alignment horizontal="center" vertical="center"/>
    </xf>
    <xf numFmtId="166" fontId="13" fillId="9" borderId="4" xfId="0" applyNumberFormat="1" applyFont="1" applyFill="1" applyBorder="1" applyAlignment="1">
      <alignment horizontal="center" vertical="center"/>
    </xf>
    <xf numFmtId="3" fontId="14" fillId="0" borderId="20" xfId="0" applyNumberFormat="1" applyFont="1" applyBorder="1" applyAlignment="1">
      <alignment horizontal="center" vertical="center"/>
    </xf>
    <xf numFmtId="166" fontId="14" fillId="0" borderId="20" xfId="0" applyNumberFormat="1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19" fillId="0" borderId="1" xfId="0" applyFont="1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14" fillId="23" borderId="1" xfId="0" applyFont="1" applyFill="1" applyBorder="1" applyAlignment="1">
      <alignment horizontal="left" vertical="center"/>
    </xf>
    <xf numFmtId="0" fontId="0" fillId="24" borderId="1" xfId="0" applyFill="1" applyBorder="1" applyAlignment="1">
      <alignment horizontal="center"/>
    </xf>
    <xf numFmtId="0" fontId="13" fillId="23" borderId="1" xfId="0" applyFont="1" applyFill="1" applyBorder="1" applyAlignment="1">
      <alignment horizontal="left" vertical="center"/>
    </xf>
    <xf numFmtId="0" fontId="0" fillId="25" borderId="1" xfId="0" applyFill="1" applyBorder="1" applyAlignment="1">
      <alignment horizontal="center"/>
    </xf>
    <xf numFmtId="0" fontId="0" fillId="25" borderId="4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26" borderId="1" xfId="0" applyFill="1" applyBorder="1" applyAlignment="1">
      <alignment horizontal="center"/>
    </xf>
    <xf numFmtId="0" fontId="0" fillId="0" borderId="1" xfId="0" applyBorder="1"/>
    <xf numFmtId="0" fontId="13" fillId="10" borderId="0" xfId="0" applyFont="1" applyFill="1" applyBorder="1" applyAlignment="1">
      <alignment horizontal="left" vertical="center"/>
    </xf>
    <xf numFmtId="0" fontId="14" fillId="12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0" fontId="0" fillId="21" borderId="4" xfId="0" applyFill="1" applyBorder="1"/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6" fontId="18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13" fillId="14" borderId="5" xfId="0" applyFont="1" applyFill="1" applyBorder="1" applyAlignment="1">
      <alignment horizontal="left" vertical="center"/>
    </xf>
    <xf numFmtId="3" fontId="0" fillId="0" borderId="5" xfId="0" applyNumberFormat="1" applyBorder="1" applyAlignment="1">
      <alignment horizontal="center"/>
    </xf>
    <xf numFmtId="0" fontId="13" fillId="2" borderId="5" xfId="0" applyFont="1" applyFill="1" applyBorder="1" applyAlignment="1">
      <alignment horizontal="center" vertical="center"/>
    </xf>
    <xf numFmtId="166" fontId="18" fillId="2" borderId="5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 vertical="center"/>
    </xf>
    <xf numFmtId="0" fontId="0" fillId="21" borderId="5" xfId="0" applyFill="1" applyBorder="1"/>
    <xf numFmtId="0" fontId="0" fillId="27" borderId="1" xfId="0" applyFill="1" applyBorder="1" applyAlignment="1">
      <alignment horizontal="center"/>
    </xf>
    <xf numFmtId="0" fontId="0" fillId="27" borderId="6" xfId="0" applyFill="1" applyBorder="1" applyAlignment="1">
      <alignment horizontal="center"/>
    </xf>
    <xf numFmtId="0" fontId="6" fillId="3" borderId="1" xfId="1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/>
    </xf>
    <xf numFmtId="0" fontId="25" fillId="4" borderId="18" xfId="0" applyFont="1" applyFill="1" applyBorder="1" applyAlignment="1">
      <alignment horizontal="center"/>
    </xf>
    <xf numFmtId="0" fontId="25" fillId="4" borderId="19" xfId="0" applyFont="1" applyFill="1" applyBorder="1" applyAlignment="1">
      <alignment horizontal="center"/>
    </xf>
    <xf numFmtId="14" fontId="0" fillId="22" borderId="10" xfId="0" applyNumberFormat="1" applyFill="1" applyBorder="1" applyAlignment="1">
      <alignment horizontal="center"/>
    </xf>
    <xf numFmtId="0" fontId="0" fillId="22" borderId="2" xfId="0" applyFill="1" applyBorder="1" applyAlignment="1">
      <alignment horizontal="center"/>
    </xf>
    <xf numFmtId="0" fontId="0" fillId="22" borderId="11" xfId="0" applyFill="1" applyBorder="1" applyAlignment="1">
      <alignment horizontal="center"/>
    </xf>
    <xf numFmtId="0" fontId="6" fillId="3" borderId="4" xfId="1" applyFont="1" applyFill="1" applyBorder="1" applyAlignment="1">
      <alignment horizontal="center" vertical="center"/>
    </xf>
    <xf numFmtId="0" fontId="0" fillId="0" borderId="6" xfId="0" applyBorder="1"/>
    <xf numFmtId="0" fontId="0" fillId="0" borderId="5" xfId="0" applyBorder="1"/>
    <xf numFmtId="0" fontId="21" fillId="20" borderId="1" xfId="0" applyFont="1" applyFill="1" applyBorder="1" applyAlignment="1">
      <alignment horizontal="center" vertical="center"/>
    </xf>
    <xf numFmtId="14" fontId="24" fillId="22" borderId="5" xfId="0" applyNumberFormat="1" applyFont="1" applyFill="1" applyBorder="1" applyAlignment="1">
      <alignment horizontal="center" vertical="center"/>
    </xf>
    <xf numFmtId="0" fontId="6" fillId="3" borderId="4" xfId="1" applyNumberFormat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5" xfId="0" applyFont="1" applyBorder="1"/>
    <xf numFmtId="0" fontId="6" fillId="3" borderId="7" xfId="1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11" xfId="0" applyBorder="1"/>
    <xf numFmtId="0" fontId="0" fillId="0" borderId="12" xfId="0" applyBorder="1"/>
    <xf numFmtId="0" fontId="6" fillId="3" borderId="4" xfId="1" applyFont="1" applyFill="1" applyBorder="1" applyAlignment="1">
      <alignment horizontal="center" vertical="center" wrapText="1"/>
    </xf>
    <xf numFmtId="0" fontId="10" fillId="0" borderId="0" xfId="1" applyFont="1" applyFill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21" fillId="20" borderId="3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10" fillId="19" borderId="3" xfId="1" applyFont="1" applyFill="1" applyBorder="1" applyAlignment="1">
      <alignment horizontal="center" vertical="center"/>
    </xf>
    <xf numFmtId="0" fontId="10" fillId="19" borderId="18" xfId="1" applyFont="1" applyFill="1" applyBorder="1" applyAlignment="1">
      <alignment horizontal="center" vertical="center"/>
    </xf>
    <xf numFmtId="0" fontId="10" fillId="19" borderId="19" xfId="1" applyFont="1" applyFill="1" applyBorder="1" applyAlignment="1">
      <alignment horizontal="center" vertical="center"/>
    </xf>
  </cellXfs>
  <cellStyles count="25">
    <cellStyle name="Normal" xfId="0" builtinId="0"/>
    <cellStyle name="Normal 10" xfId="20"/>
    <cellStyle name="Normal 11" xfId="19"/>
    <cellStyle name="Normal 12" xfId="1"/>
    <cellStyle name="Normal 2" xfId="5"/>
    <cellStyle name="Normal 2 2" xfId="7"/>
    <cellStyle name="Normal 2 3" xfId="8"/>
    <cellStyle name="Normal 3" xfId="2"/>
    <cellStyle name="Normal 3 2" xfId="10"/>
    <cellStyle name="Normal 3 3" xfId="11"/>
    <cellStyle name="Normal 3 4" xfId="14"/>
    <cellStyle name="Normal 3 5" xfId="9"/>
    <cellStyle name="Normal 4" xfId="12"/>
    <cellStyle name="Normal 4 2" xfId="15"/>
    <cellStyle name="Normal 5" xfId="3"/>
    <cellStyle name="Normal 6" xfId="13"/>
    <cellStyle name="Normal 7" xfId="6"/>
    <cellStyle name="Normal 7 2" xfId="18"/>
    <cellStyle name="Normal 7 2 2" xfId="24"/>
    <cellStyle name="Normal 7 3" xfId="21"/>
    <cellStyle name="Normal 8" xfId="17"/>
    <cellStyle name="Normal 8 2" xfId="23"/>
    <cellStyle name="Normal 9" xfId="16"/>
    <cellStyle name="Normal 9 2" xfId="22"/>
    <cellStyle name="Separador de milhares 5" xfId="4"/>
  </cellStyles>
  <dxfs count="0"/>
  <tableStyles count="0" defaultTableStyle="TableStyleMedium2" defaultPivotStyle="PivotStyleLight16"/>
  <colors>
    <mruColors>
      <color rgb="FFEF0B10"/>
      <color rgb="FFFFFF66"/>
      <color rgb="FFFF6600"/>
      <color rgb="FFFFE253"/>
      <color rgb="FF66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39"/>
  <sheetViews>
    <sheetView tabSelected="1" zoomScale="80" zoomScaleNormal="80" workbookViewId="0">
      <selection sqref="A1:J1"/>
    </sheetView>
  </sheetViews>
  <sheetFormatPr defaultRowHeight="15" x14ac:dyDescent="0.25"/>
  <cols>
    <col min="1" max="1" width="6.42578125" style="1" customWidth="1"/>
    <col min="2" max="2" width="12.28515625" customWidth="1"/>
    <col min="3" max="3" width="29.42578125" bestFit="1" customWidth="1"/>
    <col min="4" max="4" width="11" bestFit="1" customWidth="1"/>
    <col min="5" max="5" width="12" bestFit="1" customWidth="1"/>
    <col min="6" max="6" width="11.140625" customWidth="1"/>
    <col min="7" max="7" width="11.28515625" customWidth="1"/>
    <col min="8" max="8" width="4.42578125" hidden="1" customWidth="1"/>
    <col min="9" max="9" width="14.85546875" customWidth="1"/>
    <col min="11" max="11" width="16.28515625" style="2" hidden="1" customWidth="1"/>
    <col min="12" max="12" width="0.7109375" customWidth="1"/>
    <col min="13" max="13" width="15" bestFit="1" customWidth="1"/>
    <col min="14" max="14" width="18.7109375" bestFit="1" customWidth="1"/>
    <col min="15" max="15" width="14.5703125" bestFit="1" customWidth="1"/>
  </cols>
  <sheetData>
    <row r="1" spans="1:15" ht="39" x14ac:dyDescent="0.25">
      <c r="A1" s="243" t="s">
        <v>45</v>
      </c>
      <c r="B1" s="244"/>
      <c r="C1" s="244"/>
      <c r="D1" s="244"/>
      <c r="E1" s="244"/>
      <c r="F1" s="244"/>
      <c r="G1" s="244"/>
      <c r="H1" s="244"/>
      <c r="I1" s="244"/>
      <c r="J1" s="245"/>
      <c r="K1" s="10"/>
      <c r="L1" s="133"/>
      <c r="M1" s="240" t="s">
        <v>134</v>
      </c>
      <c r="N1" s="241"/>
      <c r="O1" s="242"/>
    </row>
    <row r="2" spans="1:15" ht="3.75" customHeight="1" x14ac:dyDescent="0.25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3"/>
      <c r="M2" s="133"/>
      <c r="N2" s="133"/>
      <c r="O2" s="133"/>
    </row>
    <row r="3" spans="1:15" s="1" customFormat="1" ht="15" customHeight="1" x14ac:dyDescent="0.2">
      <c r="A3" s="221" t="s">
        <v>10</v>
      </c>
      <c r="B3" s="237" t="s">
        <v>12</v>
      </c>
      <c r="C3" s="221" t="s">
        <v>0</v>
      </c>
      <c r="D3" s="230" t="s">
        <v>1</v>
      </c>
      <c r="E3" s="231"/>
      <c r="F3" s="232"/>
      <c r="G3" s="230" t="s">
        <v>2</v>
      </c>
      <c r="H3" s="12"/>
      <c r="I3" s="226" t="s">
        <v>9</v>
      </c>
      <c r="J3" s="221" t="s">
        <v>3</v>
      </c>
      <c r="K3" s="128" t="s">
        <v>4</v>
      </c>
      <c r="L3" s="134"/>
      <c r="M3" s="221" t="s">
        <v>131</v>
      </c>
      <c r="N3" s="221" t="s">
        <v>132</v>
      </c>
      <c r="O3" s="221" t="s">
        <v>133</v>
      </c>
    </row>
    <row r="4" spans="1:15" s="1" customFormat="1" ht="12.75" customHeight="1" x14ac:dyDescent="0.2">
      <c r="A4" s="228"/>
      <c r="B4" s="222"/>
      <c r="C4" s="222"/>
      <c r="D4" s="233"/>
      <c r="E4" s="234"/>
      <c r="F4" s="235"/>
      <c r="G4" s="236"/>
      <c r="H4" s="15"/>
      <c r="I4" s="222"/>
      <c r="J4" s="222"/>
      <c r="K4" s="129" t="s">
        <v>5</v>
      </c>
      <c r="L4" s="134"/>
      <c r="M4" s="222"/>
      <c r="N4" s="222"/>
      <c r="O4" s="222"/>
    </row>
    <row r="5" spans="1:15" s="1" customFormat="1" ht="12.75" customHeight="1" x14ac:dyDescent="0.2">
      <c r="A5" s="229"/>
      <c r="B5" s="223"/>
      <c r="C5" s="223"/>
      <c r="D5" s="5" t="s">
        <v>6</v>
      </c>
      <c r="E5" s="214" t="s">
        <v>7</v>
      </c>
      <c r="F5" s="8" t="s">
        <v>8</v>
      </c>
      <c r="G5" s="233"/>
      <c r="H5" s="14"/>
      <c r="I5" s="223"/>
      <c r="J5" s="223"/>
      <c r="K5" s="130"/>
      <c r="L5" s="134"/>
      <c r="M5" s="223"/>
      <c r="N5" s="223"/>
      <c r="O5" s="223"/>
    </row>
    <row r="6" spans="1:15" x14ac:dyDescent="0.25">
      <c r="A6" s="23">
        <v>1</v>
      </c>
      <c r="B6" s="42">
        <v>43258</v>
      </c>
      <c r="C6" s="43" t="s">
        <v>25</v>
      </c>
      <c r="D6" s="55">
        <v>236</v>
      </c>
      <c r="E6" s="56">
        <v>43249</v>
      </c>
      <c r="F6" s="57">
        <v>180</v>
      </c>
      <c r="G6" s="62">
        <f t="shared" ref="G6:G35" si="0">E6+F6</f>
        <v>43429</v>
      </c>
      <c r="H6" s="63"/>
      <c r="I6" s="64">
        <f t="shared" ref="I6:I37" ca="1" si="1">IF(H6="",IF(G6="","",G6-TODAY()),IF(G6-H6&gt;0,CONCATENATE("CONCLUÍDO COM ",G6-H6,"DIAS DE ANTECEDÊNCIA"),IF(G6-H6&lt;0,CONCATENATE("CONCLUÍDO COM ",H6-G6," DIAS DE ATRASO"),"CONCLUÍDO NO PRAZO")))</f>
        <v>4</v>
      </c>
      <c r="J6" s="44" t="s">
        <v>15</v>
      </c>
      <c r="K6" s="19"/>
      <c r="L6" s="133"/>
      <c r="M6" s="126" t="s">
        <v>136</v>
      </c>
      <c r="N6" s="126" t="s">
        <v>135</v>
      </c>
      <c r="O6" s="126"/>
    </row>
    <row r="7" spans="1:15" x14ac:dyDescent="0.25">
      <c r="A7" s="23">
        <v>2</v>
      </c>
      <c r="B7" s="42">
        <v>43262</v>
      </c>
      <c r="C7" s="122" t="s">
        <v>71</v>
      </c>
      <c r="D7" s="55">
        <v>3699</v>
      </c>
      <c r="E7" s="56">
        <v>43258</v>
      </c>
      <c r="F7" s="57">
        <v>180</v>
      </c>
      <c r="G7" s="62">
        <f t="shared" si="0"/>
        <v>43438</v>
      </c>
      <c r="H7" s="63"/>
      <c r="I7" s="64">
        <f t="shared" ca="1" si="1"/>
        <v>13</v>
      </c>
      <c r="J7" s="44" t="s">
        <v>15</v>
      </c>
      <c r="K7" s="19"/>
      <c r="L7" s="133"/>
      <c r="M7" s="126" t="s">
        <v>136</v>
      </c>
      <c r="N7" s="126" t="s">
        <v>135</v>
      </c>
      <c r="O7" s="126"/>
    </row>
    <row r="8" spans="1:15" x14ac:dyDescent="0.25">
      <c r="A8" s="23">
        <v>3</v>
      </c>
      <c r="B8" s="42">
        <v>43266</v>
      </c>
      <c r="C8" s="65" t="s">
        <v>34</v>
      </c>
      <c r="D8" s="55">
        <v>54</v>
      </c>
      <c r="E8" s="56">
        <v>43263</v>
      </c>
      <c r="F8" s="57">
        <v>180</v>
      </c>
      <c r="G8" s="60">
        <f t="shared" si="0"/>
        <v>43443</v>
      </c>
      <c r="H8" s="63"/>
      <c r="I8" s="64">
        <f t="shared" ca="1" si="1"/>
        <v>18</v>
      </c>
      <c r="J8" s="44" t="s">
        <v>15</v>
      </c>
      <c r="K8" s="19"/>
      <c r="L8" s="133"/>
      <c r="M8" s="126" t="s">
        <v>136</v>
      </c>
      <c r="N8" s="126" t="s">
        <v>135</v>
      </c>
      <c r="O8" s="126" t="s">
        <v>169</v>
      </c>
    </row>
    <row r="9" spans="1:15" x14ac:dyDescent="0.25">
      <c r="A9" s="23">
        <v>4</v>
      </c>
      <c r="B9" s="42">
        <v>43266</v>
      </c>
      <c r="C9" s="65" t="s">
        <v>72</v>
      </c>
      <c r="D9" s="55">
        <v>27</v>
      </c>
      <c r="E9" s="56">
        <v>43263</v>
      </c>
      <c r="F9" s="57">
        <v>180</v>
      </c>
      <c r="G9" s="60">
        <f t="shared" si="0"/>
        <v>43443</v>
      </c>
      <c r="H9" s="63"/>
      <c r="I9" s="64">
        <f t="shared" ca="1" si="1"/>
        <v>18</v>
      </c>
      <c r="J9" s="44" t="s">
        <v>15</v>
      </c>
      <c r="K9" s="19"/>
      <c r="L9" s="133"/>
      <c r="M9" s="126" t="s">
        <v>136</v>
      </c>
      <c r="N9" s="126" t="s">
        <v>135</v>
      </c>
      <c r="O9" s="126"/>
    </row>
    <row r="10" spans="1:15" x14ac:dyDescent="0.25">
      <c r="A10" s="23">
        <v>5</v>
      </c>
      <c r="B10" s="42">
        <v>43269</v>
      </c>
      <c r="C10" s="81" t="s">
        <v>78</v>
      </c>
      <c r="D10" s="55">
        <v>21</v>
      </c>
      <c r="E10" s="56">
        <v>43258</v>
      </c>
      <c r="F10" s="57">
        <v>180</v>
      </c>
      <c r="G10" s="60">
        <f t="shared" si="0"/>
        <v>43438</v>
      </c>
      <c r="H10" s="63"/>
      <c r="I10" s="71">
        <f t="shared" ca="1" si="1"/>
        <v>13</v>
      </c>
      <c r="J10" s="44" t="s">
        <v>14</v>
      </c>
      <c r="K10" s="19"/>
      <c r="L10" s="133"/>
      <c r="M10" s="126" t="s">
        <v>136</v>
      </c>
      <c r="N10" s="126" t="s">
        <v>135</v>
      </c>
      <c r="O10" s="126" t="s">
        <v>169</v>
      </c>
    </row>
    <row r="11" spans="1:15" x14ac:dyDescent="0.25">
      <c r="A11" s="23">
        <v>6</v>
      </c>
      <c r="B11" s="72">
        <v>43270</v>
      </c>
      <c r="C11" s="82" t="s">
        <v>77</v>
      </c>
      <c r="D11" s="77">
        <v>7</v>
      </c>
      <c r="E11" s="78">
        <v>43268</v>
      </c>
      <c r="F11" s="79">
        <v>180</v>
      </c>
      <c r="G11" s="80">
        <f t="shared" si="0"/>
        <v>43448</v>
      </c>
      <c r="H11" s="73"/>
      <c r="I11" s="74">
        <f t="shared" ca="1" si="1"/>
        <v>23</v>
      </c>
      <c r="J11" s="44" t="s">
        <v>14</v>
      </c>
      <c r="K11" s="19"/>
      <c r="L11" s="133"/>
      <c r="M11" s="126" t="s">
        <v>136</v>
      </c>
      <c r="N11" s="126" t="s">
        <v>135</v>
      </c>
      <c r="O11" s="126" t="s">
        <v>169</v>
      </c>
    </row>
    <row r="12" spans="1:15" x14ac:dyDescent="0.25">
      <c r="A12" s="23">
        <v>7</v>
      </c>
      <c r="B12" s="42">
        <v>43271</v>
      </c>
      <c r="C12" s="83" t="s">
        <v>79</v>
      </c>
      <c r="D12" s="55">
        <v>8025</v>
      </c>
      <c r="E12" s="56">
        <v>43256</v>
      </c>
      <c r="F12" s="57">
        <v>180</v>
      </c>
      <c r="G12" s="62">
        <f t="shared" si="0"/>
        <v>43436</v>
      </c>
      <c r="H12" s="63"/>
      <c r="I12" s="64">
        <f t="shared" ca="1" si="1"/>
        <v>11</v>
      </c>
      <c r="J12" s="44" t="s">
        <v>15</v>
      </c>
      <c r="K12" s="19"/>
      <c r="L12" s="133"/>
      <c r="M12" s="126" t="s">
        <v>136</v>
      </c>
      <c r="N12" s="126" t="s">
        <v>135</v>
      </c>
      <c r="O12" s="126"/>
    </row>
    <row r="13" spans="1:15" x14ac:dyDescent="0.25">
      <c r="A13" s="23">
        <v>8</v>
      </c>
      <c r="B13" s="42">
        <v>43271</v>
      </c>
      <c r="C13" s="83" t="s">
        <v>80</v>
      </c>
      <c r="D13" s="55">
        <v>29</v>
      </c>
      <c r="E13" s="56">
        <v>43269</v>
      </c>
      <c r="F13" s="57">
        <v>180</v>
      </c>
      <c r="G13" s="62">
        <f t="shared" si="0"/>
        <v>43449</v>
      </c>
      <c r="H13" s="63"/>
      <c r="I13" s="64">
        <f t="shared" ca="1" si="1"/>
        <v>24</v>
      </c>
      <c r="J13" s="44" t="s">
        <v>15</v>
      </c>
      <c r="K13" s="19"/>
      <c r="L13" s="133"/>
      <c r="M13" s="126" t="s">
        <v>136</v>
      </c>
      <c r="N13" s="126" t="s">
        <v>135</v>
      </c>
      <c r="O13" s="126" t="s">
        <v>169</v>
      </c>
    </row>
    <row r="14" spans="1:15" x14ac:dyDescent="0.25">
      <c r="A14" s="23">
        <v>9</v>
      </c>
      <c r="B14" s="42">
        <v>43272</v>
      </c>
      <c r="C14" s="83" t="s">
        <v>81</v>
      </c>
      <c r="D14" s="55">
        <v>17</v>
      </c>
      <c r="E14" s="56">
        <v>43269</v>
      </c>
      <c r="F14" s="57">
        <v>180</v>
      </c>
      <c r="G14" s="62">
        <f t="shared" si="0"/>
        <v>43449</v>
      </c>
      <c r="H14" s="63"/>
      <c r="I14" s="64">
        <f t="shared" ca="1" si="1"/>
        <v>24</v>
      </c>
      <c r="J14" s="44" t="s">
        <v>14</v>
      </c>
      <c r="K14" s="19"/>
      <c r="L14" s="133"/>
      <c r="M14" s="126" t="s">
        <v>136</v>
      </c>
      <c r="N14" s="126" t="s">
        <v>135</v>
      </c>
      <c r="O14" s="126" t="s">
        <v>169</v>
      </c>
    </row>
    <row r="15" spans="1:15" x14ac:dyDescent="0.25">
      <c r="A15" s="23">
        <v>10</v>
      </c>
      <c r="B15" s="42">
        <v>43276</v>
      </c>
      <c r="C15" s="83" t="s">
        <v>42</v>
      </c>
      <c r="D15" s="55">
        <v>16</v>
      </c>
      <c r="E15" s="56">
        <v>43269</v>
      </c>
      <c r="F15" s="57">
        <v>180</v>
      </c>
      <c r="G15" s="62">
        <f t="shared" si="0"/>
        <v>43449</v>
      </c>
      <c r="H15" s="63"/>
      <c r="I15" s="64">
        <f t="shared" ca="1" si="1"/>
        <v>24</v>
      </c>
      <c r="J15" s="44" t="s">
        <v>15</v>
      </c>
      <c r="K15" s="19"/>
      <c r="L15" s="133"/>
      <c r="M15" s="126" t="s">
        <v>136</v>
      </c>
      <c r="N15" s="126" t="s">
        <v>135</v>
      </c>
      <c r="O15" s="126"/>
    </row>
    <row r="16" spans="1:15" x14ac:dyDescent="0.25">
      <c r="A16" s="23">
        <v>11</v>
      </c>
      <c r="B16" s="42">
        <v>43278</v>
      </c>
      <c r="C16" s="83" t="s">
        <v>82</v>
      </c>
      <c r="D16" s="55">
        <v>154</v>
      </c>
      <c r="E16" s="56">
        <v>43269</v>
      </c>
      <c r="F16" s="57">
        <v>180</v>
      </c>
      <c r="G16" s="62">
        <f t="shared" si="0"/>
        <v>43449</v>
      </c>
      <c r="H16" s="63"/>
      <c r="I16" s="64">
        <f t="shared" ca="1" si="1"/>
        <v>24</v>
      </c>
      <c r="J16" s="44" t="s">
        <v>15</v>
      </c>
      <c r="K16" s="19"/>
      <c r="L16" s="133"/>
      <c r="M16" s="126" t="s">
        <v>136</v>
      </c>
      <c r="N16" s="126" t="s">
        <v>135</v>
      </c>
      <c r="O16" s="126" t="s">
        <v>169</v>
      </c>
    </row>
    <row r="17" spans="1:15" x14ac:dyDescent="0.25">
      <c r="A17" s="23">
        <v>12</v>
      </c>
      <c r="B17" s="42">
        <v>43278</v>
      </c>
      <c r="C17" s="83" t="s">
        <v>83</v>
      </c>
      <c r="D17" s="55">
        <v>10</v>
      </c>
      <c r="E17" s="56">
        <v>43270</v>
      </c>
      <c r="F17" s="57">
        <v>180</v>
      </c>
      <c r="G17" s="62">
        <f t="shared" si="0"/>
        <v>43450</v>
      </c>
      <c r="H17" s="63"/>
      <c r="I17" s="64">
        <f t="shared" ca="1" si="1"/>
        <v>25</v>
      </c>
      <c r="J17" s="44" t="s">
        <v>14</v>
      </c>
      <c r="K17" s="19"/>
      <c r="L17" s="133"/>
      <c r="M17" s="126" t="s">
        <v>136</v>
      </c>
      <c r="N17" s="126" t="s">
        <v>135</v>
      </c>
      <c r="O17" s="126" t="s">
        <v>169</v>
      </c>
    </row>
    <row r="18" spans="1:15" x14ac:dyDescent="0.25">
      <c r="A18" s="23">
        <v>13</v>
      </c>
      <c r="B18" s="42">
        <v>43279</v>
      </c>
      <c r="C18" s="83" t="s">
        <v>85</v>
      </c>
      <c r="D18" s="55">
        <v>4132</v>
      </c>
      <c r="E18" s="56">
        <v>43270</v>
      </c>
      <c r="F18" s="57">
        <v>180</v>
      </c>
      <c r="G18" s="62">
        <f t="shared" si="0"/>
        <v>43450</v>
      </c>
      <c r="H18" s="63"/>
      <c r="I18" s="64">
        <f t="shared" ca="1" si="1"/>
        <v>25</v>
      </c>
      <c r="J18" s="44" t="s">
        <v>15</v>
      </c>
      <c r="K18" s="19"/>
      <c r="L18" s="133"/>
      <c r="M18" s="126" t="s">
        <v>136</v>
      </c>
      <c r="N18" s="126" t="s">
        <v>135</v>
      </c>
      <c r="O18" s="126"/>
    </row>
    <row r="19" spans="1:15" x14ac:dyDescent="0.25">
      <c r="A19" s="23">
        <v>14</v>
      </c>
      <c r="B19" s="42">
        <v>43280</v>
      </c>
      <c r="C19" s="83" t="s">
        <v>86</v>
      </c>
      <c r="D19" s="55">
        <v>734</v>
      </c>
      <c r="E19" s="56">
        <v>43277</v>
      </c>
      <c r="F19" s="57">
        <v>180</v>
      </c>
      <c r="G19" s="62">
        <f t="shared" si="0"/>
        <v>43457</v>
      </c>
      <c r="H19" s="63"/>
      <c r="I19" s="64">
        <f t="shared" ca="1" si="1"/>
        <v>32</v>
      </c>
      <c r="J19" s="44" t="s">
        <v>15</v>
      </c>
      <c r="K19" s="19"/>
      <c r="L19" s="133"/>
      <c r="M19" s="126" t="s">
        <v>136</v>
      </c>
      <c r="N19" s="126" t="s">
        <v>135</v>
      </c>
      <c r="O19" s="126" t="s">
        <v>169</v>
      </c>
    </row>
    <row r="20" spans="1:15" x14ac:dyDescent="0.25">
      <c r="A20" s="23">
        <v>15</v>
      </c>
      <c r="B20" s="42">
        <v>43280</v>
      </c>
      <c r="C20" s="83" t="s">
        <v>87</v>
      </c>
      <c r="D20" s="55">
        <v>6884</v>
      </c>
      <c r="E20" s="56">
        <v>43270</v>
      </c>
      <c r="F20" s="57">
        <v>180</v>
      </c>
      <c r="G20" s="62">
        <f t="shared" si="0"/>
        <v>43450</v>
      </c>
      <c r="H20" s="63"/>
      <c r="I20" s="64">
        <f t="shared" ca="1" si="1"/>
        <v>25</v>
      </c>
      <c r="J20" s="44" t="s">
        <v>15</v>
      </c>
      <c r="K20" s="19"/>
      <c r="L20" s="133"/>
      <c r="M20" s="126" t="s">
        <v>136</v>
      </c>
      <c r="N20" s="126" t="s">
        <v>135</v>
      </c>
      <c r="O20" s="126" t="s">
        <v>169</v>
      </c>
    </row>
    <row r="21" spans="1:15" x14ac:dyDescent="0.25">
      <c r="A21" s="23">
        <v>16</v>
      </c>
      <c r="B21" s="42">
        <v>43280</v>
      </c>
      <c r="C21" s="87" t="s">
        <v>88</v>
      </c>
      <c r="D21" s="84">
        <v>271</v>
      </c>
      <c r="E21" s="85">
        <v>43270</v>
      </c>
      <c r="F21" s="86">
        <v>180</v>
      </c>
      <c r="G21" s="62">
        <f t="shared" si="0"/>
        <v>43450</v>
      </c>
      <c r="H21" s="63"/>
      <c r="I21" s="64">
        <f t="shared" ca="1" si="1"/>
        <v>25</v>
      </c>
      <c r="J21" s="44" t="s">
        <v>14</v>
      </c>
      <c r="K21" s="19"/>
      <c r="L21" s="133"/>
      <c r="M21" s="126" t="s">
        <v>136</v>
      </c>
      <c r="N21" s="126" t="s">
        <v>135</v>
      </c>
      <c r="O21" s="126"/>
    </row>
    <row r="22" spans="1:15" x14ac:dyDescent="0.25">
      <c r="A22" s="23">
        <v>17</v>
      </c>
      <c r="B22" s="42">
        <v>43286</v>
      </c>
      <c r="C22" s="89" t="s">
        <v>92</v>
      </c>
      <c r="D22" s="55">
        <v>31</v>
      </c>
      <c r="E22" s="88">
        <v>43276</v>
      </c>
      <c r="F22" s="57">
        <v>180</v>
      </c>
      <c r="G22" s="62">
        <f t="shared" si="0"/>
        <v>43456</v>
      </c>
      <c r="H22" s="63"/>
      <c r="I22" s="64">
        <f t="shared" ca="1" si="1"/>
        <v>31</v>
      </c>
      <c r="J22" s="44" t="s">
        <v>15</v>
      </c>
      <c r="K22" s="19"/>
      <c r="L22" s="133"/>
      <c r="M22" s="126" t="s">
        <v>136</v>
      </c>
      <c r="N22" s="126" t="s">
        <v>135</v>
      </c>
      <c r="O22" s="126" t="s">
        <v>169</v>
      </c>
    </row>
    <row r="23" spans="1:15" x14ac:dyDescent="0.25">
      <c r="A23" s="23">
        <v>18</v>
      </c>
      <c r="B23" s="42">
        <v>43286</v>
      </c>
      <c r="C23" s="83" t="s">
        <v>94</v>
      </c>
      <c r="D23" s="55">
        <v>42</v>
      </c>
      <c r="E23" s="56">
        <v>43274</v>
      </c>
      <c r="F23" s="57">
        <v>180</v>
      </c>
      <c r="G23" s="62">
        <f t="shared" si="0"/>
        <v>43454</v>
      </c>
      <c r="H23" s="63"/>
      <c r="I23" s="64">
        <f t="shared" ca="1" si="1"/>
        <v>29</v>
      </c>
      <c r="J23" s="44" t="s">
        <v>14</v>
      </c>
      <c r="K23" s="19"/>
      <c r="L23" s="133"/>
      <c r="M23" s="126" t="s">
        <v>136</v>
      </c>
      <c r="N23" s="126" t="s">
        <v>135</v>
      </c>
      <c r="O23" s="126" t="s">
        <v>169</v>
      </c>
    </row>
    <row r="24" spans="1:15" x14ac:dyDescent="0.25">
      <c r="A24" s="23">
        <v>19</v>
      </c>
      <c r="B24" s="42">
        <v>43287</v>
      </c>
      <c r="C24" s="83" t="s">
        <v>95</v>
      </c>
      <c r="D24" s="55">
        <v>90</v>
      </c>
      <c r="E24" s="56">
        <v>43285</v>
      </c>
      <c r="F24" s="57">
        <v>180</v>
      </c>
      <c r="G24" s="62">
        <f t="shared" si="0"/>
        <v>43465</v>
      </c>
      <c r="H24" s="63"/>
      <c r="I24" s="64">
        <f t="shared" ca="1" si="1"/>
        <v>40</v>
      </c>
      <c r="J24" s="44" t="s">
        <v>15</v>
      </c>
      <c r="K24" s="19"/>
      <c r="L24" s="133"/>
      <c r="M24" s="126" t="s">
        <v>136</v>
      </c>
      <c r="N24" s="126" t="s">
        <v>135</v>
      </c>
      <c r="O24" s="126"/>
    </row>
    <row r="25" spans="1:15" x14ac:dyDescent="0.25">
      <c r="A25" s="23">
        <v>20</v>
      </c>
      <c r="B25" s="42">
        <v>43287</v>
      </c>
      <c r="C25" s="83" t="s">
        <v>96</v>
      </c>
      <c r="D25" s="55">
        <v>14</v>
      </c>
      <c r="E25" s="56">
        <v>43277</v>
      </c>
      <c r="F25" s="57">
        <v>180</v>
      </c>
      <c r="G25" s="62">
        <f t="shared" si="0"/>
        <v>43457</v>
      </c>
      <c r="H25" s="63"/>
      <c r="I25" s="64">
        <f t="shared" ca="1" si="1"/>
        <v>32</v>
      </c>
      <c r="J25" s="44" t="s">
        <v>15</v>
      </c>
      <c r="K25" s="19"/>
      <c r="L25" s="133"/>
      <c r="M25" s="126" t="s">
        <v>136</v>
      </c>
      <c r="N25" s="126" t="s">
        <v>135</v>
      </c>
      <c r="O25" s="126" t="s">
        <v>169</v>
      </c>
    </row>
    <row r="26" spans="1:15" x14ac:dyDescent="0.25">
      <c r="A26" s="23">
        <v>21</v>
      </c>
      <c r="B26" s="42">
        <v>43290</v>
      </c>
      <c r="C26" s="83" t="s">
        <v>23</v>
      </c>
      <c r="D26" s="55">
        <v>18</v>
      </c>
      <c r="E26" s="56">
        <v>43279</v>
      </c>
      <c r="F26" s="57">
        <v>180</v>
      </c>
      <c r="G26" s="62">
        <f t="shared" si="0"/>
        <v>43459</v>
      </c>
      <c r="H26" s="63"/>
      <c r="I26" s="64">
        <f t="shared" ca="1" si="1"/>
        <v>34</v>
      </c>
      <c r="J26" s="44" t="s">
        <v>15</v>
      </c>
      <c r="K26" s="19"/>
      <c r="L26" s="133"/>
      <c r="M26" s="126" t="s">
        <v>136</v>
      </c>
      <c r="N26" s="126" t="s">
        <v>135</v>
      </c>
      <c r="O26" s="126"/>
    </row>
    <row r="27" spans="1:15" x14ac:dyDescent="0.25">
      <c r="A27" s="23">
        <v>22</v>
      </c>
      <c r="B27" s="42">
        <v>43291</v>
      </c>
      <c r="C27" s="92" t="s">
        <v>93</v>
      </c>
      <c r="D27" s="55">
        <v>12</v>
      </c>
      <c r="E27" s="56">
        <v>43290</v>
      </c>
      <c r="F27" s="57">
        <v>180</v>
      </c>
      <c r="G27" s="62">
        <f t="shared" si="0"/>
        <v>43470</v>
      </c>
      <c r="H27" s="63"/>
      <c r="I27" s="64">
        <f t="shared" ca="1" si="1"/>
        <v>45</v>
      </c>
      <c r="J27" s="44" t="s">
        <v>14</v>
      </c>
      <c r="K27" s="19"/>
      <c r="L27" s="133"/>
      <c r="M27" s="126" t="s">
        <v>136</v>
      </c>
      <c r="N27" s="126" t="s">
        <v>135</v>
      </c>
      <c r="O27" s="126"/>
    </row>
    <row r="28" spans="1:15" x14ac:dyDescent="0.25">
      <c r="A28" s="23">
        <v>23</v>
      </c>
      <c r="B28" s="42">
        <v>43291</v>
      </c>
      <c r="C28" s="83" t="s">
        <v>98</v>
      </c>
      <c r="D28" s="55">
        <v>570</v>
      </c>
      <c r="E28" s="56">
        <v>43271</v>
      </c>
      <c r="F28" s="57">
        <v>180</v>
      </c>
      <c r="G28" s="62">
        <f t="shared" si="0"/>
        <v>43451</v>
      </c>
      <c r="H28" s="63"/>
      <c r="I28" s="64">
        <f t="shared" ca="1" si="1"/>
        <v>26</v>
      </c>
      <c r="J28" s="44" t="s">
        <v>15</v>
      </c>
      <c r="K28" s="19"/>
      <c r="L28" s="133"/>
      <c r="M28" s="126" t="s">
        <v>136</v>
      </c>
      <c r="N28" s="126" t="s">
        <v>135</v>
      </c>
      <c r="O28" s="126" t="s">
        <v>169</v>
      </c>
    </row>
    <row r="29" spans="1:15" x14ac:dyDescent="0.25">
      <c r="A29" s="23">
        <v>24</v>
      </c>
      <c r="B29" s="42">
        <v>43292</v>
      </c>
      <c r="C29" s="92" t="s">
        <v>99</v>
      </c>
      <c r="D29" s="55">
        <v>26</v>
      </c>
      <c r="E29" s="56">
        <v>43278</v>
      </c>
      <c r="F29" s="57">
        <v>180</v>
      </c>
      <c r="G29" s="62">
        <f t="shared" si="0"/>
        <v>43458</v>
      </c>
      <c r="H29" s="63"/>
      <c r="I29" s="64">
        <f t="shared" ca="1" si="1"/>
        <v>33</v>
      </c>
      <c r="J29" s="44" t="s">
        <v>15</v>
      </c>
      <c r="K29" s="19"/>
      <c r="L29" s="133"/>
      <c r="M29" s="126" t="s">
        <v>136</v>
      </c>
      <c r="N29" s="126" t="s">
        <v>135</v>
      </c>
      <c r="O29" s="126" t="s">
        <v>169</v>
      </c>
    </row>
    <row r="30" spans="1:15" x14ac:dyDescent="0.25">
      <c r="A30" s="23">
        <v>25</v>
      </c>
      <c r="B30" s="42">
        <v>43292</v>
      </c>
      <c r="C30" s="92" t="s">
        <v>100</v>
      </c>
      <c r="D30" s="55">
        <v>15</v>
      </c>
      <c r="E30" s="56">
        <v>43286</v>
      </c>
      <c r="F30" s="57">
        <v>180</v>
      </c>
      <c r="G30" s="62">
        <f t="shared" si="0"/>
        <v>43466</v>
      </c>
      <c r="H30" s="63"/>
      <c r="I30" s="64">
        <f t="shared" ca="1" si="1"/>
        <v>41</v>
      </c>
      <c r="J30" s="44" t="s">
        <v>15</v>
      </c>
      <c r="K30" s="19"/>
      <c r="L30" s="133"/>
      <c r="M30" s="126" t="s">
        <v>136</v>
      </c>
      <c r="N30" s="126" t="s">
        <v>135</v>
      </c>
      <c r="O30" s="126" t="s">
        <v>169</v>
      </c>
    </row>
    <row r="31" spans="1:15" x14ac:dyDescent="0.25">
      <c r="A31" s="23">
        <v>26</v>
      </c>
      <c r="B31" s="42">
        <v>43293</v>
      </c>
      <c r="C31" s="92" t="s">
        <v>20</v>
      </c>
      <c r="D31" s="55">
        <v>18</v>
      </c>
      <c r="E31" s="56">
        <v>43285</v>
      </c>
      <c r="F31" s="57">
        <v>180</v>
      </c>
      <c r="G31" s="62">
        <f t="shared" si="0"/>
        <v>43465</v>
      </c>
      <c r="H31" s="63"/>
      <c r="I31" s="64">
        <f t="shared" ca="1" si="1"/>
        <v>40</v>
      </c>
      <c r="J31" s="44" t="s">
        <v>15</v>
      </c>
      <c r="K31" s="19"/>
      <c r="L31" s="133"/>
      <c r="M31" s="126" t="s">
        <v>136</v>
      </c>
      <c r="N31" s="126" t="s">
        <v>135</v>
      </c>
      <c r="O31" s="126" t="s">
        <v>169</v>
      </c>
    </row>
    <row r="32" spans="1:15" x14ac:dyDescent="0.25">
      <c r="A32" s="23">
        <v>27</v>
      </c>
      <c r="B32" s="42">
        <v>43294</v>
      </c>
      <c r="C32" s="83" t="s">
        <v>101</v>
      </c>
      <c r="D32" s="55">
        <v>235</v>
      </c>
      <c r="E32" s="56">
        <v>43291</v>
      </c>
      <c r="F32" s="57">
        <v>180</v>
      </c>
      <c r="G32" s="91">
        <f t="shared" si="0"/>
        <v>43471</v>
      </c>
      <c r="H32" s="63"/>
      <c r="I32" s="64">
        <f t="shared" ca="1" si="1"/>
        <v>46</v>
      </c>
      <c r="J32" s="44" t="s">
        <v>14</v>
      </c>
      <c r="K32" s="19"/>
      <c r="L32" s="133"/>
      <c r="M32" s="126" t="s">
        <v>136</v>
      </c>
      <c r="N32" s="126" t="s">
        <v>135</v>
      </c>
      <c r="O32" s="126" t="s">
        <v>169</v>
      </c>
    </row>
    <row r="33" spans="1:15" x14ac:dyDescent="0.25">
      <c r="A33" s="23">
        <v>28</v>
      </c>
      <c r="B33" s="42">
        <v>43294</v>
      </c>
      <c r="C33" s="83" t="s">
        <v>102</v>
      </c>
      <c r="D33" s="55">
        <v>15</v>
      </c>
      <c r="E33" s="56">
        <v>43284</v>
      </c>
      <c r="F33" s="57">
        <v>180</v>
      </c>
      <c r="G33" s="91">
        <f t="shared" si="0"/>
        <v>43464</v>
      </c>
      <c r="H33" s="63"/>
      <c r="I33" s="64">
        <f t="shared" ca="1" si="1"/>
        <v>39</v>
      </c>
      <c r="J33" s="44" t="s">
        <v>15</v>
      </c>
      <c r="K33" s="19"/>
      <c r="L33" s="133"/>
      <c r="M33" s="126" t="s">
        <v>136</v>
      </c>
      <c r="N33" s="126" t="s">
        <v>135</v>
      </c>
      <c r="O33" s="126"/>
    </row>
    <row r="34" spans="1:15" x14ac:dyDescent="0.25">
      <c r="A34" s="23">
        <v>29</v>
      </c>
      <c r="B34" s="42">
        <v>43299</v>
      </c>
      <c r="C34" s="83" t="s">
        <v>40</v>
      </c>
      <c r="D34" s="55">
        <v>1876</v>
      </c>
      <c r="E34" s="56">
        <v>43297</v>
      </c>
      <c r="F34" s="57">
        <v>180</v>
      </c>
      <c r="G34" s="91">
        <f t="shared" si="0"/>
        <v>43477</v>
      </c>
      <c r="H34" s="63"/>
      <c r="I34" s="64">
        <f t="shared" ca="1" si="1"/>
        <v>52</v>
      </c>
      <c r="J34" s="44" t="s">
        <v>15</v>
      </c>
      <c r="K34" s="19"/>
      <c r="L34" s="133"/>
      <c r="M34" s="126" t="s">
        <v>136</v>
      </c>
      <c r="N34" s="126" t="s">
        <v>135</v>
      </c>
      <c r="O34" s="126" t="s">
        <v>169</v>
      </c>
    </row>
    <row r="35" spans="1:15" x14ac:dyDescent="0.25">
      <c r="A35" s="23">
        <v>30</v>
      </c>
      <c r="B35" s="42">
        <v>43299</v>
      </c>
      <c r="C35" s="83" t="s">
        <v>103</v>
      </c>
      <c r="D35" s="55">
        <v>71</v>
      </c>
      <c r="E35" s="56">
        <v>43290</v>
      </c>
      <c r="F35" s="57">
        <v>180</v>
      </c>
      <c r="G35" s="91">
        <f t="shared" si="0"/>
        <v>43470</v>
      </c>
      <c r="H35" s="63"/>
      <c r="I35" s="64">
        <f t="shared" ca="1" si="1"/>
        <v>45</v>
      </c>
      <c r="J35" s="44" t="s">
        <v>15</v>
      </c>
      <c r="K35" s="19"/>
      <c r="L35" s="133"/>
      <c r="M35" s="126" t="s">
        <v>136</v>
      </c>
      <c r="N35" s="126" t="s">
        <v>135</v>
      </c>
      <c r="O35" s="126"/>
    </row>
    <row r="36" spans="1:15" x14ac:dyDescent="0.25">
      <c r="A36" s="23">
        <v>31</v>
      </c>
      <c r="B36" s="42">
        <v>43299</v>
      </c>
      <c r="C36" s="83" t="s">
        <v>104</v>
      </c>
      <c r="D36" s="55">
        <v>179</v>
      </c>
      <c r="E36" s="56">
        <v>43297</v>
      </c>
      <c r="F36" s="57">
        <v>180</v>
      </c>
      <c r="G36" s="91">
        <f t="shared" ref="G36:G64" si="2">E36+F36</f>
        <v>43477</v>
      </c>
      <c r="H36" s="63"/>
      <c r="I36" s="64">
        <f t="shared" ca="1" si="1"/>
        <v>52</v>
      </c>
      <c r="J36" s="44" t="s">
        <v>14</v>
      </c>
      <c r="K36" s="19"/>
      <c r="L36" s="133"/>
      <c r="M36" s="126" t="s">
        <v>136</v>
      </c>
      <c r="N36" s="126" t="s">
        <v>135</v>
      </c>
      <c r="O36" s="126" t="s">
        <v>169</v>
      </c>
    </row>
    <row r="37" spans="1:15" x14ac:dyDescent="0.25">
      <c r="A37" s="127" t="s">
        <v>141</v>
      </c>
      <c r="B37" s="42">
        <v>43299</v>
      </c>
      <c r="C37" s="121" t="s">
        <v>71</v>
      </c>
      <c r="D37" s="55">
        <v>3717</v>
      </c>
      <c r="E37" s="56">
        <v>43297</v>
      </c>
      <c r="F37" s="57">
        <v>180</v>
      </c>
      <c r="G37" s="91">
        <f t="shared" si="2"/>
        <v>43477</v>
      </c>
      <c r="H37" s="63"/>
      <c r="I37" s="64">
        <f t="shared" ca="1" si="1"/>
        <v>52</v>
      </c>
      <c r="J37" s="44" t="s">
        <v>15</v>
      </c>
      <c r="K37" s="19"/>
      <c r="L37" s="133"/>
      <c r="M37" s="126" t="s">
        <v>136</v>
      </c>
      <c r="N37" s="183" t="s">
        <v>140</v>
      </c>
      <c r="O37" s="126"/>
    </row>
    <row r="38" spans="1:15" x14ac:dyDescent="0.25">
      <c r="A38" s="23">
        <v>32</v>
      </c>
      <c r="B38" s="42">
        <v>43301</v>
      </c>
      <c r="C38" s="83" t="s">
        <v>105</v>
      </c>
      <c r="D38" s="55">
        <v>38</v>
      </c>
      <c r="E38" s="56">
        <v>43290</v>
      </c>
      <c r="F38" s="57">
        <v>180</v>
      </c>
      <c r="G38" s="91">
        <f t="shared" si="2"/>
        <v>43470</v>
      </c>
      <c r="H38" s="63"/>
      <c r="I38" s="64">
        <f t="shared" ref="I38:I69" ca="1" si="3">IF(H38="",IF(G38="","",G38-TODAY()),IF(G38-H38&gt;0,CONCATENATE("CONCLUÍDO COM ",G38-H38,"DIAS DE ANTECEDÊNCIA"),IF(G38-H38&lt;0,CONCATENATE("CONCLUÍDO COM ",H38-G38," DIAS DE ATRASO"),"CONCLUÍDO NO PRAZO")))</f>
        <v>45</v>
      </c>
      <c r="J38" s="44" t="s">
        <v>15</v>
      </c>
      <c r="K38" s="19"/>
      <c r="L38" s="133"/>
      <c r="M38" s="126" t="s">
        <v>136</v>
      </c>
      <c r="N38" s="126" t="s">
        <v>135</v>
      </c>
      <c r="O38" s="126"/>
    </row>
    <row r="39" spans="1:15" x14ac:dyDescent="0.25">
      <c r="A39" s="23">
        <v>33</v>
      </c>
      <c r="B39" s="42">
        <v>43314</v>
      </c>
      <c r="C39" s="83" t="s">
        <v>106</v>
      </c>
      <c r="D39" s="55">
        <v>26</v>
      </c>
      <c r="E39" s="56">
        <v>43290</v>
      </c>
      <c r="F39" s="57">
        <v>180</v>
      </c>
      <c r="G39" s="91">
        <f t="shared" si="2"/>
        <v>43470</v>
      </c>
      <c r="H39" s="63"/>
      <c r="I39" s="64">
        <f t="shared" ca="1" si="3"/>
        <v>45</v>
      </c>
      <c r="J39" s="44" t="s">
        <v>15</v>
      </c>
      <c r="K39" s="19"/>
      <c r="L39" s="133"/>
      <c r="M39" s="126" t="s">
        <v>136</v>
      </c>
      <c r="N39" s="126" t="s">
        <v>135</v>
      </c>
      <c r="O39" s="126"/>
    </row>
    <row r="40" spans="1:15" x14ac:dyDescent="0.25">
      <c r="A40" s="23">
        <v>34</v>
      </c>
      <c r="B40" s="42">
        <v>43314</v>
      </c>
      <c r="C40" s="83" t="s">
        <v>107</v>
      </c>
      <c r="D40" s="55">
        <v>24</v>
      </c>
      <c r="E40" s="56">
        <v>43292</v>
      </c>
      <c r="F40" s="57">
        <v>180</v>
      </c>
      <c r="G40" s="91">
        <f t="shared" si="2"/>
        <v>43472</v>
      </c>
      <c r="H40" s="63"/>
      <c r="I40" s="64">
        <f t="shared" ca="1" si="3"/>
        <v>47</v>
      </c>
      <c r="J40" s="44" t="s">
        <v>15</v>
      </c>
      <c r="K40" s="19"/>
      <c r="L40" s="133"/>
      <c r="M40" s="126" t="s">
        <v>136</v>
      </c>
      <c r="N40" s="126" t="s">
        <v>135</v>
      </c>
      <c r="O40" s="126" t="s">
        <v>169</v>
      </c>
    </row>
    <row r="41" spans="1:15" x14ac:dyDescent="0.25">
      <c r="A41" s="23">
        <v>35</v>
      </c>
      <c r="B41" s="42">
        <v>43314</v>
      </c>
      <c r="C41" s="83" t="s">
        <v>90</v>
      </c>
      <c r="D41" s="55">
        <v>16</v>
      </c>
      <c r="E41" s="56">
        <v>43277</v>
      </c>
      <c r="F41" s="57">
        <v>180</v>
      </c>
      <c r="G41" s="91">
        <f t="shared" si="2"/>
        <v>43457</v>
      </c>
      <c r="H41" s="63"/>
      <c r="I41" s="64">
        <f t="shared" ca="1" si="3"/>
        <v>32</v>
      </c>
      <c r="J41" s="44" t="s">
        <v>15</v>
      </c>
      <c r="K41" s="19"/>
      <c r="L41" s="133"/>
      <c r="M41" s="126" t="s">
        <v>136</v>
      </c>
      <c r="N41" s="126" t="s">
        <v>135</v>
      </c>
      <c r="O41" s="126" t="s">
        <v>169</v>
      </c>
    </row>
    <row r="42" spans="1:15" x14ac:dyDescent="0.25">
      <c r="A42" s="23">
        <v>36</v>
      </c>
      <c r="B42" s="42">
        <v>43314</v>
      </c>
      <c r="C42" s="83" t="s">
        <v>35</v>
      </c>
      <c r="D42" s="55">
        <v>55</v>
      </c>
      <c r="E42" s="56">
        <v>43304</v>
      </c>
      <c r="F42" s="57">
        <v>180</v>
      </c>
      <c r="G42" s="91">
        <f t="shared" si="2"/>
        <v>43484</v>
      </c>
      <c r="H42" s="63"/>
      <c r="I42" s="64">
        <f t="shared" ca="1" si="3"/>
        <v>59</v>
      </c>
      <c r="J42" s="44" t="s">
        <v>15</v>
      </c>
      <c r="K42" s="19"/>
      <c r="L42" s="133"/>
      <c r="M42" s="126" t="s">
        <v>136</v>
      </c>
      <c r="N42" s="126" t="s">
        <v>135</v>
      </c>
      <c r="O42" s="126" t="s">
        <v>169</v>
      </c>
    </row>
    <row r="43" spans="1:15" x14ac:dyDescent="0.25">
      <c r="A43" s="23">
        <v>37</v>
      </c>
      <c r="B43" s="42">
        <v>43314</v>
      </c>
      <c r="C43" s="83" t="s">
        <v>19</v>
      </c>
      <c r="D43" s="55">
        <v>44</v>
      </c>
      <c r="E43" s="56">
        <v>43304</v>
      </c>
      <c r="F43" s="57">
        <v>180</v>
      </c>
      <c r="G43" s="91">
        <f t="shared" si="2"/>
        <v>43484</v>
      </c>
      <c r="H43" s="63"/>
      <c r="I43" s="64">
        <f t="shared" ca="1" si="3"/>
        <v>59</v>
      </c>
      <c r="J43" s="44" t="s">
        <v>14</v>
      </c>
      <c r="K43" s="19"/>
      <c r="L43" s="133"/>
      <c r="M43" s="126" t="s">
        <v>136</v>
      </c>
      <c r="N43" s="126" t="s">
        <v>135</v>
      </c>
      <c r="O43" s="126"/>
    </row>
    <row r="44" spans="1:15" x14ac:dyDescent="0.25">
      <c r="A44" s="23">
        <v>38</v>
      </c>
      <c r="B44" s="42">
        <v>43314</v>
      </c>
      <c r="C44" s="83" t="s">
        <v>91</v>
      </c>
      <c r="D44" s="55">
        <v>45</v>
      </c>
      <c r="E44" s="56">
        <v>43312</v>
      </c>
      <c r="F44" s="57">
        <v>180</v>
      </c>
      <c r="G44" s="91">
        <f t="shared" si="2"/>
        <v>43492</v>
      </c>
      <c r="H44" s="63"/>
      <c r="I44" s="64">
        <f t="shared" ca="1" si="3"/>
        <v>67</v>
      </c>
      <c r="J44" s="44" t="s">
        <v>15</v>
      </c>
      <c r="K44" s="19"/>
      <c r="L44" s="133"/>
      <c r="M44" s="126" t="s">
        <v>136</v>
      </c>
      <c r="N44" s="126" t="s">
        <v>135</v>
      </c>
      <c r="O44" s="126" t="s">
        <v>169</v>
      </c>
    </row>
    <row r="45" spans="1:15" x14ac:dyDescent="0.25">
      <c r="A45" s="23">
        <v>39</v>
      </c>
      <c r="B45" s="42">
        <v>43314</v>
      </c>
      <c r="C45" s="83" t="s">
        <v>109</v>
      </c>
      <c r="D45" s="55">
        <v>28</v>
      </c>
      <c r="E45" s="56">
        <v>43306</v>
      </c>
      <c r="F45" s="57">
        <v>180</v>
      </c>
      <c r="G45" s="91">
        <f t="shared" si="2"/>
        <v>43486</v>
      </c>
      <c r="H45" s="63"/>
      <c r="I45" s="64">
        <f t="shared" ca="1" si="3"/>
        <v>61</v>
      </c>
      <c r="J45" s="44" t="s">
        <v>15</v>
      </c>
      <c r="K45" s="19"/>
      <c r="L45" s="133"/>
      <c r="M45" s="126" t="s">
        <v>136</v>
      </c>
      <c r="N45" s="126" t="s">
        <v>135</v>
      </c>
      <c r="O45" s="126"/>
    </row>
    <row r="46" spans="1:15" x14ac:dyDescent="0.25">
      <c r="A46" s="23">
        <v>40</v>
      </c>
      <c r="B46" s="42">
        <v>43314</v>
      </c>
      <c r="C46" s="83" t="s">
        <v>74</v>
      </c>
      <c r="D46" s="55">
        <v>2138</v>
      </c>
      <c r="E46" s="56">
        <v>43306</v>
      </c>
      <c r="F46" s="57">
        <v>180</v>
      </c>
      <c r="G46" s="91">
        <f t="shared" si="2"/>
        <v>43486</v>
      </c>
      <c r="H46" s="63"/>
      <c r="I46" s="64">
        <f t="shared" ca="1" si="3"/>
        <v>61</v>
      </c>
      <c r="J46" s="44" t="s">
        <v>15</v>
      </c>
      <c r="K46" s="19"/>
      <c r="L46" s="133"/>
      <c r="M46" s="126" t="s">
        <v>136</v>
      </c>
      <c r="N46" s="126" t="s">
        <v>135</v>
      </c>
      <c r="O46" s="126" t="s">
        <v>169</v>
      </c>
    </row>
    <row r="47" spans="1:15" x14ac:dyDescent="0.25">
      <c r="A47" s="23">
        <v>41</v>
      </c>
      <c r="B47" s="42">
        <v>43314</v>
      </c>
      <c r="C47" s="83" t="s">
        <v>76</v>
      </c>
      <c r="D47" s="55">
        <v>319</v>
      </c>
      <c r="E47" s="56">
        <v>43313</v>
      </c>
      <c r="F47" s="57">
        <v>180</v>
      </c>
      <c r="G47" s="91">
        <f t="shared" si="2"/>
        <v>43493</v>
      </c>
      <c r="H47" s="63"/>
      <c r="I47" s="64">
        <f t="shared" ca="1" si="3"/>
        <v>68</v>
      </c>
      <c r="J47" s="44" t="s">
        <v>14</v>
      </c>
      <c r="K47" s="131" t="s">
        <v>14</v>
      </c>
      <c r="L47" s="133"/>
      <c r="M47" s="126" t="s">
        <v>136</v>
      </c>
      <c r="N47" s="126" t="s">
        <v>135</v>
      </c>
      <c r="O47" s="126"/>
    </row>
    <row r="48" spans="1:15" x14ac:dyDescent="0.25">
      <c r="A48" s="23">
        <v>42</v>
      </c>
      <c r="B48" s="42">
        <v>43314</v>
      </c>
      <c r="C48" s="83" t="s">
        <v>110</v>
      </c>
      <c r="D48" s="55">
        <v>78</v>
      </c>
      <c r="E48" s="56">
        <v>43292</v>
      </c>
      <c r="F48" s="57">
        <v>180</v>
      </c>
      <c r="G48" s="91">
        <f t="shared" si="2"/>
        <v>43472</v>
      </c>
      <c r="H48" s="63"/>
      <c r="I48" s="64">
        <f t="shared" ca="1" si="3"/>
        <v>47</v>
      </c>
      <c r="J48" s="44" t="s">
        <v>14</v>
      </c>
      <c r="K48" s="19"/>
      <c r="L48" s="133"/>
      <c r="M48" s="126" t="s">
        <v>136</v>
      </c>
      <c r="N48" s="126" t="s">
        <v>135</v>
      </c>
      <c r="O48" s="126" t="s">
        <v>169</v>
      </c>
    </row>
    <row r="49" spans="1:15" x14ac:dyDescent="0.25">
      <c r="A49" s="23">
        <v>43</v>
      </c>
      <c r="B49" s="42">
        <v>43315</v>
      </c>
      <c r="C49" s="83" t="s">
        <v>118</v>
      </c>
      <c r="D49" s="55">
        <v>481</v>
      </c>
      <c r="E49" s="56">
        <v>43301</v>
      </c>
      <c r="F49" s="57">
        <v>180</v>
      </c>
      <c r="G49" s="91">
        <f t="shared" si="2"/>
        <v>43481</v>
      </c>
      <c r="H49" s="63"/>
      <c r="I49" s="64">
        <f t="shared" ca="1" si="3"/>
        <v>56</v>
      </c>
      <c r="J49" s="44" t="s">
        <v>15</v>
      </c>
      <c r="K49" s="19"/>
      <c r="L49" s="133"/>
      <c r="M49" s="126" t="s">
        <v>136</v>
      </c>
      <c r="N49" s="126" t="s">
        <v>135</v>
      </c>
      <c r="O49" s="126" t="s">
        <v>169</v>
      </c>
    </row>
    <row r="50" spans="1:15" x14ac:dyDescent="0.25">
      <c r="A50" s="23">
        <v>44</v>
      </c>
      <c r="B50" s="42">
        <v>43319</v>
      </c>
      <c r="C50" s="83" t="s">
        <v>44</v>
      </c>
      <c r="D50" s="55">
        <v>27</v>
      </c>
      <c r="E50" s="56">
        <v>43318</v>
      </c>
      <c r="F50" s="57">
        <v>180</v>
      </c>
      <c r="G50" s="91">
        <f t="shared" si="2"/>
        <v>43498</v>
      </c>
      <c r="H50" s="63"/>
      <c r="I50" s="64">
        <f t="shared" ca="1" si="3"/>
        <v>73</v>
      </c>
      <c r="J50" s="44" t="s">
        <v>15</v>
      </c>
      <c r="K50" s="19"/>
      <c r="L50" s="133"/>
      <c r="M50" s="126" t="s">
        <v>136</v>
      </c>
      <c r="N50" s="126" t="s">
        <v>135</v>
      </c>
      <c r="O50" s="126" t="s">
        <v>169</v>
      </c>
    </row>
    <row r="51" spans="1:15" x14ac:dyDescent="0.25">
      <c r="A51" s="23">
        <v>45</v>
      </c>
      <c r="B51" s="42">
        <v>43325</v>
      </c>
      <c r="C51" s="83" t="s">
        <v>43</v>
      </c>
      <c r="D51" s="55">
        <v>951</v>
      </c>
      <c r="E51" s="56">
        <v>43315</v>
      </c>
      <c r="F51" s="57">
        <v>180</v>
      </c>
      <c r="G51" s="91">
        <f t="shared" si="2"/>
        <v>43495</v>
      </c>
      <c r="H51" s="63"/>
      <c r="I51" s="64">
        <f t="shared" ca="1" si="3"/>
        <v>70</v>
      </c>
      <c r="J51" s="44" t="s">
        <v>14</v>
      </c>
      <c r="K51" s="19"/>
      <c r="L51" s="133"/>
      <c r="M51" s="126" t="s">
        <v>136</v>
      </c>
      <c r="N51" s="126" t="s">
        <v>135</v>
      </c>
      <c r="O51" s="126"/>
    </row>
    <row r="52" spans="1:15" x14ac:dyDescent="0.25">
      <c r="A52" s="23">
        <v>46</v>
      </c>
      <c r="B52" s="42">
        <v>43325</v>
      </c>
      <c r="C52" s="83" t="s">
        <v>41</v>
      </c>
      <c r="D52" s="55">
        <v>3502</v>
      </c>
      <c r="E52" s="56">
        <v>43313</v>
      </c>
      <c r="F52" s="57">
        <v>180</v>
      </c>
      <c r="G52" s="91">
        <f t="shared" si="2"/>
        <v>43493</v>
      </c>
      <c r="H52" s="63"/>
      <c r="I52" s="64">
        <f t="shared" ca="1" si="3"/>
        <v>68</v>
      </c>
      <c r="J52" s="44" t="s">
        <v>15</v>
      </c>
      <c r="K52" s="19"/>
      <c r="L52" s="133"/>
      <c r="M52" s="202" t="s">
        <v>136</v>
      </c>
      <c r="N52" s="126" t="s">
        <v>135</v>
      </c>
      <c r="O52" s="126"/>
    </row>
    <row r="53" spans="1:15" x14ac:dyDescent="0.25">
      <c r="A53" s="23">
        <v>47</v>
      </c>
      <c r="B53" s="42">
        <v>43328</v>
      </c>
      <c r="C53" s="83" t="s">
        <v>122</v>
      </c>
      <c r="D53" s="55">
        <v>48</v>
      </c>
      <c r="E53" s="56">
        <v>43325</v>
      </c>
      <c r="F53" s="57">
        <v>180</v>
      </c>
      <c r="G53" s="91">
        <f t="shared" si="2"/>
        <v>43505</v>
      </c>
      <c r="H53" s="63"/>
      <c r="I53" s="64">
        <f t="shared" ca="1" si="3"/>
        <v>80</v>
      </c>
      <c r="J53" s="44" t="s">
        <v>15</v>
      </c>
      <c r="K53" s="19"/>
      <c r="L53" s="133"/>
      <c r="M53" s="126" t="s">
        <v>136</v>
      </c>
      <c r="N53" s="126" t="s">
        <v>135</v>
      </c>
      <c r="O53" s="126" t="s">
        <v>169</v>
      </c>
    </row>
    <row r="54" spans="1:15" x14ac:dyDescent="0.25">
      <c r="A54" s="23">
        <v>48</v>
      </c>
      <c r="B54" s="42">
        <v>43328</v>
      </c>
      <c r="C54" s="83" t="s">
        <v>63</v>
      </c>
      <c r="D54" s="55">
        <v>54</v>
      </c>
      <c r="E54" s="56">
        <v>43315</v>
      </c>
      <c r="F54" s="57">
        <v>180</v>
      </c>
      <c r="G54" s="91">
        <f t="shared" si="2"/>
        <v>43495</v>
      </c>
      <c r="H54" s="63"/>
      <c r="I54" s="64">
        <f t="shared" ca="1" si="3"/>
        <v>70</v>
      </c>
      <c r="J54" s="44" t="s">
        <v>15</v>
      </c>
      <c r="K54" s="19"/>
      <c r="L54" s="133"/>
      <c r="M54" s="202" t="s">
        <v>136</v>
      </c>
      <c r="N54" s="126" t="s">
        <v>135</v>
      </c>
      <c r="O54" s="126"/>
    </row>
    <row r="55" spans="1:15" x14ac:dyDescent="0.25">
      <c r="A55" s="23">
        <v>49</v>
      </c>
      <c r="B55" s="42">
        <v>43328</v>
      </c>
      <c r="C55" s="83" t="s">
        <v>123</v>
      </c>
      <c r="D55" s="55">
        <v>713</v>
      </c>
      <c r="E55" s="56">
        <v>43321</v>
      </c>
      <c r="F55" s="57">
        <v>180</v>
      </c>
      <c r="G55" s="91">
        <f t="shared" si="2"/>
        <v>43501</v>
      </c>
      <c r="H55" s="63"/>
      <c r="I55" s="64">
        <f t="shared" ca="1" si="3"/>
        <v>76</v>
      </c>
      <c r="J55" s="44" t="s">
        <v>14</v>
      </c>
      <c r="K55" s="19"/>
      <c r="L55" s="133"/>
      <c r="M55" s="126" t="s">
        <v>136</v>
      </c>
      <c r="N55" s="126" t="s">
        <v>135</v>
      </c>
      <c r="O55" s="126" t="s">
        <v>169</v>
      </c>
    </row>
    <row r="56" spans="1:15" x14ac:dyDescent="0.25">
      <c r="A56" s="23">
        <v>50</v>
      </c>
      <c r="B56" s="42">
        <v>43328</v>
      </c>
      <c r="C56" s="92" t="s">
        <v>125</v>
      </c>
      <c r="D56" s="55">
        <v>27</v>
      </c>
      <c r="E56" s="56">
        <v>43314</v>
      </c>
      <c r="F56" s="57">
        <v>180</v>
      </c>
      <c r="G56" s="91">
        <f t="shared" si="2"/>
        <v>43494</v>
      </c>
      <c r="H56" s="63"/>
      <c r="I56" s="64">
        <f t="shared" ca="1" si="3"/>
        <v>69</v>
      </c>
      <c r="J56" s="44" t="s">
        <v>14</v>
      </c>
      <c r="K56" s="19"/>
      <c r="L56" s="133"/>
      <c r="M56" s="126" t="s">
        <v>136</v>
      </c>
      <c r="N56" s="126" t="s">
        <v>135</v>
      </c>
      <c r="O56" s="126"/>
    </row>
    <row r="57" spans="1:15" x14ac:dyDescent="0.25">
      <c r="A57" s="23">
        <v>51</v>
      </c>
      <c r="B57" s="42">
        <v>43332</v>
      </c>
      <c r="C57" s="92" t="s">
        <v>126</v>
      </c>
      <c r="D57" s="55">
        <v>27</v>
      </c>
      <c r="E57" s="56">
        <v>43321</v>
      </c>
      <c r="F57" s="57">
        <v>180</v>
      </c>
      <c r="G57" s="91">
        <f t="shared" si="2"/>
        <v>43501</v>
      </c>
      <c r="H57" s="63"/>
      <c r="I57" s="64">
        <f t="shared" ca="1" si="3"/>
        <v>76</v>
      </c>
      <c r="J57" s="44" t="s">
        <v>15</v>
      </c>
      <c r="K57" s="19"/>
      <c r="L57" s="133"/>
      <c r="M57" s="126" t="s">
        <v>136</v>
      </c>
      <c r="N57" s="126" t="s">
        <v>135</v>
      </c>
      <c r="O57" s="126"/>
    </row>
    <row r="58" spans="1:15" x14ac:dyDescent="0.25">
      <c r="A58" s="23">
        <v>52</v>
      </c>
      <c r="B58" s="42">
        <v>43336</v>
      </c>
      <c r="C58" s="92" t="s">
        <v>36</v>
      </c>
      <c r="D58" s="55">
        <v>171</v>
      </c>
      <c r="E58" s="56">
        <v>43320</v>
      </c>
      <c r="F58" s="57">
        <v>180</v>
      </c>
      <c r="G58" s="91">
        <f t="shared" si="2"/>
        <v>43500</v>
      </c>
      <c r="H58" s="63"/>
      <c r="I58" s="64">
        <f t="shared" ca="1" si="3"/>
        <v>75</v>
      </c>
      <c r="J58" s="44" t="s">
        <v>15</v>
      </c>
      <c r="K58" s="19"/>
      <c r="L58" s="133"/>
      <c r="M58" s="202" t="s">
        <v>136</v>
      </c>
      <c r="N58" s="126" t="s">
        <v>135</v>
      </c>
      <c r="O58" s="126"/>
    </row>
    <row r="59" spans="1:15" x14ac:dyDescent="0.25">
      <c r="A59" s="23">
        <v>53</v>
      </c>
      <c r="B59" s="42">
        <v>43341</v>
      </c>
      <c r="C59" s="92" t="s">
        <v>128</v>
      </c>
      <c r="D59" s="55">
        <v>589</v>
      </c>
      <c r="E59" s="56">
        <v>43332</v>
      </c>
      <c r="F59" s="57">
        <v>180</v>
      </c>
      <c r="G59" s="91">
        <f t="shared" si="2"/>
        <v>43512</v>
      </c>
      <c r="H59" s="63"/>
      <c r="I59" s="64">
        <f t="shared" ca="1" si="3"/>
        <v>87</v>
      </c>
      <c r="J59" s="44" t="s">
        <v>15</v>
      </c>
      <c r="K59" s="19"/>
      <c r="L59" s="133"/>
      <c r="M59" s="126" t="s">
        <v>136</v>
      </c>
      <c r="N59" s="126" t="s">
        <v>135</v>
      </c>
      <c r="O59" s="126"/>
    </row>
    <row r="60" spans="1:15" x14ac:dyDescent="0.25">
      <c r="A60" s="23">
        <v>54</v>
      </c>
      <c r="B60" s="42">
        <v>43341</v>
      </c>
      <c r="C60" s="92" t="s">
        <v>129</v>
      </c>
      <c r="D60" s="55">
        <v>28</v>
      </c>
      <c r="E60" s="56">
        <v>43320</v>
      </c>
      <c r="F60" s="57">
        <v>180</v>
      </c>
      <c r="G60" s="91">
        <f t="shared" si="2"/>
        <v>43500</v>
      </c>
      <c r="H60" s="63"/>
      <c r="I60" s="64">
        <f t="shared" ca="1" si="3"/>
        <v>75</v>
      </c>
      <c r="J60" s="44" t="s">
        <v>15</v>
      </c>
      <c r="K60" s="19"/>
      <c r="L60" s="133"/>
      <c r="M60" s="126" t="s">
        <v>136</v>
      </c>
      <c r="N60" s="126" t="s">
        <v>135</v>
      </c>
      <c r="O60" s="126" t="s">
        <v>169</v>
      </c>
    </row>
    <row r="61" spans="1:15" x14ac:dyDescent="0.25">
      <c r="A61" s="23">
        <v>55</v>
      </c>
      <c r="B61" s="42">
        <v>43341</v>
      </c>
      <c r="C61" s="92" t="s">
        <v>27</v>
      </c>
      <c r="D61" s="55">
        <v>1290</v>
      </c>
      <c r="E61" s="56">
        <v>43339</v>
      </c>
      <c r="F61" s="57">
        <v>180</v>
      </c>
      <c r="G61" s="91">
        <f t="shared" si="2"/>
        <v>43519</v>
      </c>
      <c r="H61" s="63"/>
      <c r="I61" s="64">
        <f t="shared" ca="1" si="3"/>
        <v>94</v>
      </c>
      <c r="J61" s="44" t="s">
        <v>14</v>
      </c>
      <c r="K61" s="19"/>
      <c r="L61" s="133"/>
      <c r="M61" s="126" t="s">
        <v>136</v>
      </c>
      <c r="N61" s="126" t="s">
        <v>135</v>
      </c>
      <c r="O61" s="126" t="s">
        <v>169</v>
      </c>
    </row>
    <row r="62" spans="1:15" x14ac:dyDescent="0.25">
      <c r="A62" s="23">
        <v>56</v>
      </c>
      <c r="B62" s="42">
        <v>43341</v>
      </c>
      <c r="C62" s="92" t="s">
        <v>130</v>
      </c>
      <c r="D62" s="55">
        <v>39</v>
      </c>
      <c r="E62" s="56">
        <v>43334</v>
      </c>
      <c r="F62" s="57">
        <v>180</v>
      </c>
      <c r="G62" s="91">
        <f t="shared" si="2"/>
        <v>43514</v>
      </c>
      <c r="H62" s="63"/>
      <c r="I62" s="64">
        <f t="shared" ca="1" si="3"/>
        <v>89</v>
      </c>
      <c r="J62" s="44" t="s">
        <v>15</v>
      </c>
      <c r="K62" s="19"/>
      <c r="L62" s="133"/>
      <c r="M62" s="126" t="s">
        <v>136</v>
      </c>
      <c r="N62" s="126" t="s">
        <v>135</v>
      </c>
      <c r="O62" s="126"/>
    </row>
    <row r="63" spans="1:15" x14ac:dyDescent="0.25">
      <c r="A63" s="23">
        <v>57</v>
      </c>
      <c r="B63" s="72">
        <v>43341</v>
      </c>
      <c r="C63" s="153" t="s">
        <v>69</v>
      </c>
      <c r="D63" s="77">
        <v>141</v>
      </c>
      <c r="E63" s="78">
        <v>43329</v>
      </c>
      <c r="F63" s="79">
        <v>180</v>
      </c>
      <c r="G63" s="138">
        <f t="shared" si="2"/>
        <v>43509</v>
      </c>
      <c r="H63" s="73"/>
      <c r="I63" s="74">
        <f t="shared" ca="1" si="3"/>
        <v>84</v>
      </c>
      <c r="J63" s="75" t="s">
        <v>15</v>
      </c>
      <c r="K63" s="19"/>
      <c r="L63" s="133"/>
      <c r="M63" s="182" t="s">
        <v>137</v>
      </c>
      <c r="N63" s="184" t="s">
        <v>140</v>
      </c>
      <c r="O63" s="139"/>
    </row>
    <row r="64" spans="1:15" x14ac:dyDescent="0.25">
      <c r="A64" s="23">
        <v>58</v>
      </c>
      <c r="B64" s="42">
        <v>43343</v>
      </c>
      <c r="C64" s="92" t="s">
        <v>24</v>
      </c>
      <c r="D64" s="142">
        <v>28</v>
      </c>
      <c r="E64" s="143">
        <v>43340</v>
      </c>
      <c r="F64" s="144">
        <v>180</v>
      </c>
      <c r="G64" s="91">
        <f t="shared" si="2"/>
        <v>43520</v>
      </c>
      <c r="H64" s="132"/>
      <c r="I64" s="74">
        <f t="shared" ca="1" si="3"/>
        <v>95</v>
      </c>
      <c r="J64" s="44" t="s">
        <v>14</v>
      </c>
      <c r="K64" s="140"/>
      <c r="L64" s="141"/>
      <c r="M64" s="126" t="s">
        <v>136</v>
      </c>
      <c r="N64" s="126" t="s">
        <v>135</v>
      </c>
      <c r="O64" s="126"/>
    </row>
    <row r="65" spans="1:15" x14ac:dyDescent="0.25">
      <c r="A65" s="23">
        <v>59</v>
      </c>
      <c r="B65" s="42">
        <v>43347</v>
      </c>
      <c r="C65" s="92" t="s">
        <v>144</v>
      </c>
      <c r="D65" s="142">
        <v>41</v>
      </c>
      <c r="E65" s="143">
        <v>43328</v>
      </c>
      <c r="F65" s="144">
        <v>180</v>
      </c>
      <c r="G65" s="145">
        <f t="shared" ref="G65:G103" si="4">E65+F65</f>
        <v>43508</v>
      </c>
      <c r="H65" s="149"/>
      <c r="I65" s="64">
        <f t="shared" ca="1" si="3"/>
        <v>83</v>
      </c>
      <c r="J65" s="44" t="s">
        <v>14</v>
      </c>
      <c r="K65" s="140"/>
      <c r="L65" s="141"/>
      <c r="M65" s="126" t="s">
        <v>136</v>
      </c>
      <c r="N65" s="126" t="s">
        <v>135</v>
      </c>
      <c r="O65" s="126" t="s">
        <v>169</v>
      </c>
    </row>
    <row r="66" spans="1:15" x14ac:dyDescent="0.25">
      <c r="A66" s="23">
        <v>60</v>
      </c>
      <c r="B66" s="42">
        <v>43347</v>
      </c>
      <c r="C66" s="92" t="s">
        <v>21</v>
      </c>
      <c r="D66" s="142">
        <v>48</v>
      </c>
      <c r="E66" s="143">
        <v>43336</v>
      </c>
      <c r="F66" s="144">
        <v>180</v>
      </c>
      <c r="G66" s="145">
        <f t="shared" si="4"/>
        <v>43516</v>
      </c>
      <c r="H66" s="149"/>
      <c r="I66" s="64">
        <f t="shared" ca="1" si="3"/>
        <v>91</v>
      </c>
      <c r="J66" s="44" t="s">
        <v>15</v>
      </c>
      <c r="K66" s="151"/>
      <c r="L66" s="141"/>
      <c r="M66" s="126" t="s">
        <v>136</v>
      </c>
      <c r="N66" s="126" t="s">
        <v>135</v>
      </c>
      <c r="O66" s="126" t="s">
        <v>169</v>
      </c>
    </row>
    <row r="67" spans="1:15" x14ac:dyDescent="0.25">
      <c r="A67" s="23">
        <v>61</v>
      </c>
      <c r="B67" s="42">
        <v>43347</v>
      </c>
      <c r="C67" s="92" t="s">
        <v>145</v>
      </c>
      <c r="D67" s="142">
        <v>25</v>
      </c>
      <c r="E67" s="143">
        <v>43340</v>
      </c>
      <c r="F67" s="144">
        <v>180</v>
      </c>
      <c r="G67" s="145">
        <f t="shared" si="4"/>
        <v>43520</v>
      </c>
      <c r="H67" s="149"/>
      <c r="I67" s="64">
        <f t="shared" ca="1" si="3"/>
        <v>95</v>
      </c>
      <c r="J67" s="44" t="s">
        <v>15</v>
      </c>
      <c r="K67" s="151"/>
      <c r="L67" s="141"/>
      <c r="M67" s="126" t="s">
        <v>136</v>
      </c>
      <c r="N67" s="126" t="s">
        <v>135</v>
      </c>
      <c r="O67" s="126"/>
    </row>
    <row r="68" spans="1:15" x14ac:dyDescent="0.25">
      <c r="A68" s="23">
        <v>62</v>
      </c>
      <c r="B68" s="72">
        <v>43347</v>
      </c>
      <c r="C68" s="153" t="s">
        <v>146</v>
      </c>
      <c r="D68" s="154">
        <v>2290</v>
      </c>
      <c r="E68" s="155">
        <v>43341</v>
      </c>
      <c r="F68" s="156">
        <v>180</v>
      </c>
      <c r="G68" s="157">
        <f t="shared" si="4"/>
        <v>43521</v>
      </c>
      <c r="H68" s="73"/>
      <c r="I68" s="74">
        <f t="shared" ca="1" si="3"/>
        <v>96</v>
      </c>
      <c r="J68" s="75" t="s">
        <v>15</v>
      </c>
      <c r="K68" s="19"/>
      <c r="L68" s="150"/>
      <c r="M68" s="139" t="s">
        <v>136</v>
      </c>
      <c r="N68" s="139" t="s">
        <v>135</v>
      </c>
      <c r="O68" s="139"/>
    </row>
    <row r="69" spans="1:15" x14ac:dyDescent="0.25">
      <c r="A69" s="23">
        <v>63</v>
      </c>
      <c r="B69" s="42">
        <v>43349</v>
      </c>
      <c r="C69" s="92" t="s">
        <v>147</v>
      </c>
      <c r="D69" s="142">
        <v>344</v>
      </c>
      <c r="E69" s="143">
        <v>43339</v>
      </c>
      <c r="F69" s="144">
        <v>180</v>
      </c>
      <c r="G69" s="145">
        <f t="shared" si="4"/>
        <v>43519</v>
      </c>
      <c r="H69" s="152"/>
      <c r="I69" s="64">
        <f t="shared" ca="1" si="3"/>
        <v>94</v>
      </c>
      <c r="J69" s="44" t="s">
        <v>15</v>
      </c>
      <c r="K69" s="140"/>
      <c r="L69" s="141"/>
      <c r="M69" s="126" t="s">
        <v>136</v>
      </c>
      <c r="N69" s="126" t="s">
        <v>135</v>
      </c>
      <c r="O69" s="126"/>
    </row>
    <row r="70" spans="1:15" x14ac:dyDescent="0.25">
      <c r="A70" s="23">
        <v>64</v>
      </c>
      <c r="B70" s="42">
        <v>43349</v>
      </c>
      <c r="C70" s="92" t="s">
        <v>29</v>
      </c>
      <c r="D70" s="142">
        <v>57</v>
      </c>
      <c r="E70" s="143">
        <v>43321</v>
      </c>
      <c r="F70" s="144">
        <v>180</v>
      </c>
      <c r="G70" s="145">
        <f t="shared" si="4"/>
        <v>43501</v>
      </c>
      <c r="H70" s="160"/>
      <c r="I70" s="64">
        <f t="shared" ref="I70:I101" ca="1" si="5">IF(H70="",IF(G70="","",G70-TODAY()),IF(G70-H70&gt;0,CONCATENATE("CONCLUÍDO COM ",G70-H70,"DIAS DE ANTECEDÊNCIA"),IF(G70-H70&lt;0,CONCATENATE("CONCLUÍDO COM ",H70-G70," DIAS DE ATRASO"),"CONCLUÍDO NO PRAZO")))</f>
        <v>76</v>
      </c>
      <c r="J70" s="44" t="s">
        <v>14</v>
      </c>
      <c r="K70" s="140"/>
      <c r="L70" s="141"/>
      <c r="M70" s="126" t="s">
        <v>136</v>
      </c>
      <c r="N70" s="126" t="s">
        <v>135</v>
      </c>
      <c r="O70" s="126" t="s">
        <v>169</v>
      </c>
    </row>
    <row r="71" spans="1:15" x14ac:dyDescent="0.25">
      <c r="A71" s="23">
        <v>65</v>
      </c>
      <c r="B71" s="42">
        <v>43349</v>
      </c>
      <c r="C71" s="92" t="s">
        <v>37</v>
      </c>
      <c r="D71" s="142">
        <v>93</v>
      </c>
      <c r="E71" s="143">
        <v>43319</v>
      </c>
      <c r="F71" s="144">
        <v>180</v>
      </c>
      <c r="G71" s="145">
        <f t="shared" si="4"/>
        <v>43499</v>
      </c>
      <c r="H71" s="160"/>
      <c r="I71" s="64">
        <f t="shared" ca="1" si="5"/>
        <v>74</v>
      </c>
      <c r="J71" s="44" t="s">
        <v>14</v>
      </c>
      <c r="K71" s="140"/>
      <c r="L71" s="141"/>
      <c r="M71" s="181" t="s">
        <v>137</v>
      </c>
      <c r="N71" s="183" t="s">
        <v>140</v>
      </c>
      <c r="O71" s="126"/>
    </row>
    <row r="72" spans="1:15" x14ac:dyDescent="0.25">
      <c r="A72" s="23">
        <v>66</v>
      </c>
      <c r="B72" s="42">
        <v>43353</v>
      </c>
      <c r="C72" s="92" t="s">
        <v>149</v>
      </c>
      <c r="D72" s="142">
        <v>260</v>
      </c>
      <c r="E72" s="143">
        <v>43340</v>
      </c>
      <c r="F72" s="144">
        <v>180</v>
      </c>
      <c r="G72" s="145">
        <f t="shared" si="4"/>
        <v>43520</v>
      </c>
      <c r="H72" s="160"/>
      <c r="I72" s="64">
        <f t="shared" ca="1" si="5"/>
        <v>95</v>
      </c>
      <c r="J72" s="44" t="s">
        <v>15</v>
      </c>
      <c r="K72" s="140"/>
      <c r="L72" s="141"/>
      <c r="M72" s="126" t="s">
        <v>136</v>
      </c>
      <c r="N72" s="126" t="s">
        <v>135</v>
      </c>
      <c r="O72" s="126"/>
    </row>
    <row r="73" spans="1:15" x14ac:dyDescent="0.25">
      <c r="A73" s="23">
        <v>67</v>
      </c>
      <c r="B73" s="42">
        <v>43353</v>
      </c>
      <c r="C73" s="92" t="s">
        <v>150</v>
      </c>
      <c r="D73" s="142">
        <v>32</v>
      </c>
      <c r="E73" s="143">
        <v>43347</v>
      </c>
      <c r="F73" s="144">
        <v>180</v>
      </c>
      <c r="G73" s="145">
        <f t="shared" si="4"/>
        <v>43527</v>
      </c>
      <c r="H73" s="160"/>
      <c r="I73" s="64">
        <f t="shared" ca="1" si="5"/>
        <v>102</v>
      </c>
      <c r="J73" s="44" t="s">
        <v>15</v>
      </c>
      <c r="K73" s="140"/>
      <c r="L73" s="141"/>
      <c r="M73" s="126" t="s">
        <v>136</v>
      </c>
      <c r="N73" s="126" t="s">
        <v>135</v>
      </c>
      <c r="O73" s="126"/>
    </row>
    <row r="74" spans="1:15" x14ac:dyDescent="0.25">
      <c r="A74" s="23">
        <v>68</v>
      </c>
      <c r="B74" s="42">
        <v>43356</v>
      </c>
      <c r="C74" s="92" t="s">
        <v>47</v>
      </c>
      <c r="D74" s="142">
        <v>79</v>
      </c>
      <c r="E74" s="143">
        <v>43346</v>
      </c>
      <c r="F74" s="144">
        <v>180</v>
      </c>
      <c r="G74" s="145">
        <f t="shared" si="4"/>
        <v>43526</v>
      </c>
      <c r="H74" s="160"/>
      <c r="I74" s="64">
        <f t="shared" ca="1" si="5"/>
        <v>101</v>
      </c>
      <c r="J74" s="44" t="s">
        <v>14</v>
      </c>
      <c r="K74" s="140"/>
      <c r="L74" s="141"/>
      <c r="M74" s="126" t="s">
        <v>136</v>
      </c>
      <c r="N74" s="126" t="s">
        <v>135</v>
      </c>
      <c r="O74" s="126" t="s">
        <v>169</v>
      </c>
    </row>
    <row r="75" spans="1:15" x14ac:dyDescent="0.25">
      <c r="A75" s="23">
        <v>69</v>
      </c>
      <c r="B75" s="42">
        <v>43357</v>
      </c>
      <c r="C75" s="92" t="s">
        <v>30</v>
      </c>
      <c r="D75" s="142">
        <v>17</v>
      </c>
      <c r="E75" s="143">
        <v>43353</v>
      </c>
      <c r="F75" s="144">
        <v>180</v>
      </c>
      <c r="G75" s="145">
        <f t="shared" si="4"/>
        <v>43533</v>
      </c>
      <c r="H75" s="161"/>
      <c r="I75" s="64">
        <f t="shared" ca="1" si="5"/>
        <v>108</v>
      </c>
      <c r="J75" s="44" t="s">
        <v>15</v>
      </c>
      <c r="K75" s="140"/>
      <c r="L75" s="141"/>
      <c r="M75" s="126" t="s">
        <v>136</v>
      </c>
      <c r="N75" s="126" t="s">
        <v>135</v>
      </c>
      <c r="O75" s="126"/>
    </row>
    <row r="76" spans="1:15" x14ac:dyDescent="0.25">
      <c r="A76" s="23">
        <v>70</v>
      </c>
      <c r="B76" s="42">
        <v>43357</v>
      </c>
      <c r="C76" s="92" t="s">
        <v>33</v>
      </c>
      <c r="D76" s="142">
        <v>2871</v>
      </c>
      <c r="E76" s="143">
        <v>43349</v>
      </c>
      <c r="F76" s="144">
        <v>180</v>
      </c>
      <c r="G76" s="145">
        <f t="shared" si="4"/>
        <v>43529</v>
      </c>
      <c r="H76" s="161"/>
      <c r="I76" s="64">
        <f t="shared" ca="1" si="5"/>
        <v>104</v>
      </c>
      <c r="J76" s="44" t="s">
        <v>14</v>
      </c>
      <c r="K76" s="140"/>
      <c r="L76" s="141"/>
      <c r="M76" s="126" t="s">
        <v>136</v>
      </c>
      <c r="N76" s="126" t="s">
        <v>135</v>
      </c>
      <c r="O76" s="126"/>
    </row>
    <row r="77" spans="1:15" x14ac:dyDescent="0.25">
      <c r="A77" s="23">
        <v>71</v>
      </c>
      <c r="B77" s="42">
        <v>43361</v>
      </c>
      <c r="C77" s="92" t="s">
        <v>46</v>
      </c>
      <c r="D77" s="142">
        <v>38</v>
      </c>
      <c r="E77" s="143">
        <v>43354</v>
      </c>
      <c r="F77" s="144">
        <v>180</v>
      </c>
      <c r="G77" s="145">
        <f t="shared" si="4"/>
        <v>43534</v>
      </c>
      <c r="H77" s="171"/>
      <c r="I77" s="64">
        <f t="shared" ca="1" si="5"/>
        <v>109</v>
      </c>
      <c r="J77" s="44" t="s">
        <v>15</v>
      </c>
      <c r="K77" s="140"/>
      <c r="L77" s="141"/>
      <c r="M77" s="126" t="s">
        <v>136</v>
      </c>
      <c r="N77" s="126" t="s">
        <v>135</v>
      </c>
      <c r="O77" s="126" t="s">
        <v>169</v>
      </c>
    </row>
    <row r="78" spans="1:15" x14ac:dyDescent="0.25">
      <c r="A78" s="23">
        <v>72</v>
      </c>
      <c r="B78" s="42">
        <v>43362</v>
      </c>
      <c r="C78" s="92" t="s">
        <v>18</v>
      </c>
      <c r="D78" s="142">
        <v>27</v>
      </c>
      <c r="E78" s="143">
        <v>43354</v>
      </c>
      <c r="F78" s="144">
        <v>180</v>
      </c>
      <c r="G78" s="145">
        <f t="shared" si="4"/>
        <v>43534</v>
      </c>
      <c r="H78" s="172"/>
      <c r="I78" s="64">
        <f t="shared" ca="1" si="5"/>
        <v>109</v>
      </c>
      <c r="J78" s="44" t="s">
        <v>14</v>
      </c>
      <c r="K78" s="140"/>
      <c r="L78" s="141"/>
      <c r="M78" s="202" t="s">
        <v>136</v>
      </c>
      <c r="N78" s="126" t="s">
        <v>135</v>
      </c>
      <c r="O78" s="126" t="s">
        <v>169</v>
      </c>
    </row>
    <row r="79" spans="1:15" x14ac:dyDescent="0.25">
      <c r="A79" s="23">
        <v>73</v>
      </c>
      <c r="B79" s="42">
        <v>43362</v>
      </c>
      <c r="C79" s="92" t="s">
        <v>89</v>
      </c>
      <c r="D79" s="142">
        <v>3306</v>
      </c>
      <c r="E79" s="143">
        <v>43361</v>
      </c>
      <c r="F79" s="144">
        <v>90</v>
      </c>
      <c r="G79" s="145">
        <f t="shared" si="4"/>
        <v>43451</v>
      </c>
      <c r="H79" s="173"/>
      <c r="I79" s="64">
        <f t="shared" ca="1" si="5"/>
        <v>26</v>
      </c>
      <c r="J79" s="44" t="s">
        <v>15</v>
      </c>
      <c r="K79" s="140"/>
      <c r="L79" s="141"/>
      <c r="M79" s="126" t="s">
        <v>136</v>
      </c>
      <c r="N79" s="126" t="s">
        <v>135</v>
      </c>
      <c r="O79" s="126"/>
    </row>
    <row r="80" spans="1:15" x14ac:dyDescent="0.25">
      <c r="A80" s="23">
        <v>74</v>
      </c>
      <c r="B80" s="42">
        <v>43363</v>
      </c>
      <c r="C80" s="92" t="s">
        <v>153</v>
      </c>
      <c r="D80" s="142">
        <v>52</v>
      </c>
      <c r="E80" s="143">
        <v>43361</v>
      </c>
      <c r="F80" s="144">
        <v>180</v>
      </c>
      <c r="G80" s="145">
        <f t="shared" si="4"/>
        <v>43541</v>
      </c>
      <c r="H80" s="173"/>
      <c r="I80" s="64">
        <f t="shared" ca="1" si="5"/>
        <v>116</v>
      </c>
      <c r="J80" s="44" t="s">
        <v>14</v>
      </c>
      <c r="K80" s="140"/>
      <c r="L80" s="141"/>
      <c r="M80" s="126" t="s">
        <v>136</v>
      </c>
      <c r="N80" s="126" t="s">
        <v>135</v>
      </c>
      <c r="O80" s="126"/>
    </row>
    <row r="81" spans="1:16" x14ac:dyDescent="0.25">
      <c r="A81" s="23">
        <v>75</v>
      </c>
      <c r="B81" s="42">
        <v>43363</v>
      </c>
      <c r="C81" s="92" t="s">
        <v>154</v>
      </c>
      <c r="D81" s="142">
        <v>61</v>
      </c>
      <c r="E81" s="143">
        <v>43362</v>
      </c>
      <c r="F81" s="144">
        <v>180</v>
      </c>
      <c r="G81" s="145">
        <f t="shared" si="4"/>
        <v>43542</v>
      </c>
      <c r="H81" s="173"/>
      <c r="I81" s="64">
        <f t="shared" ca="1" si="5"/>
        <v>117</v>
      </c>
      <c r="J81" s="44" t="s">
        <v>15</v>
      </c>
      <c r="K81" s="140"/>
      <c r="L81" s="141"/>
      <c r="M81" s="126" t="s">
        <v>136</v>
      </c>
      <c r="N81" s="126" t="s">
        <v>135</v>
      </c>
      <c r="O81" s="126" t="s">
        <v>169</v>
      </c>
    </row>
    <row r="82" spans="1:16" x14ac:dyDescent="0.25">
      <c r="A82" s="23">
        <v>76</v>
      </c>
      <c r="B82" s="42">
        <v>43370</v>
      </c>
      <c r="C82" s="92" t="s">
        <v>155</v>
      </c>
      <c r="D82" s="142">
        <v>936</v>
      </c>
      <c r="E82" s="143">
        <v>43368</v>
      </c>
      <c r="F82" s="144">
        <v>180</v>
      </c>
      <c r="G82" s="145">
        <f t="shared" si="4"/>
        <v>43548</v>
      </c>
      <c r="H82" s="174"/>
      <c r="I82" s="64">
        <f t="shared" ca="1" si="5"/>
        <v>123</v>
      </c>
      <c r="J82" s="44" t="s">
        <v>15</v>
      </c>
      <c r="K82" s="140"/>
      <c r="L82" s="141"/>
      <c r="M82" s="126" t="s">
        <v>136</v>
      </c>
      <c r="N82" s="126" t="s">
        <v>135</v>
      </c>
      <c r="O82" s="126" t="s">
        <v>169</v>
      </c>
    </row>
    <row r="83" spans="1:16" x14ac:dyDescent="0.25">
      <c r="A83" s="23">
        <v>77</v>
      </c>
      <c r="B83" s="42">
        <v>43377</v>
      </c>
      <c r="C83" s="92" t="s">
        <v>55</v>
      </c>
      <c r="D83" s="142">
        <v>64</v>
      </c>
      <c r="E83" s="143">
        <v>43374</v>
      </c>
      <c r="F83" s="144">
        <v>180</v>
      </c>
      <c r="G83" s="145">
        <f t="shared" si="4"/>
        <v>43554</v>
      </c>
      <c r="H83" s="175"/>
      <c r="I83" s="64">
        <f t="shared" ca="1" si="5"/>
        <v>129</v>
      </c>
      <c r="J83" s="44" t="s">
        <v>15</v>
      </c>
      <c r="K83" s="140"/>
      <c r="L83" s="141"/>
      <c r="M83" s="126" t="s">
        <v>136</v>
      </c>
      <c r="N83" s="126" t="s">
        <v>135</v>
      </c>
      <c r="O83" s="126" t="s">
        <v>169</v>
      </c>
    </row>
    <row r="84" spans="1:16" x14ac:dyDescent="0.25">
      <c r="A84" s="23">
        <v>78</v>
      </c>
      <c r="B84" s="42">
        <v>43377</v>
      </c>
      <c r="C84" s="92" t="s">
        <v>119</v>
      </c>
      <c r="D84" s="142">
        <v>60</v>
      </c>
      <c r="E84" s="143">
        <v>43371</v>
      </c>
      <c r="F84" s="144">
        <v>180</v>
      </c>
      <c r="G84" s="145">
        <f t="shared" si="4"/>
        <v>43551</v>
      </c>
      <c r="H84" s="175"/>
      <c r="I84" s="64">
        <f t="shared" ca="1" si="5"/>
        <v>126</v>
      </c>
      <c r="J84" s="44" t="s">
        <v>15</v>
      </c>
      <c r="K84" s="140"/>
      <c r="L84" s="141"/>
      <c r="M84" s="126" t="s">
        <v>136</v>
      </c>
      <c r="N84" s="126" t="s">
        <v>135</v>
      </c>
      <c r="O84" s="126" t="s">
        <v>169</v>
      </c>
    </row>
    <row r="85" spans="1:16" x14ac:dyDescent="0.25">
      <c r="A85" s="23">
        <v>79</v>
      </c>
      <c r="B85" s="42">
        <v>43378</v>
      </c>
      <c r="C85" s="92" t="s">
        <v>157</v>
      </c>
      <c r="D85" s="142">
        <v>65</v>
      </c>
      <c r="E85" s="143">
        <v>43374</v>
      </c>
      <c r="F85" s="144">
        <v>180</v>
      </c>
      <c r="G85" s="145">
        <f t="shared" si="4"/>
        <v>43554</v>
      </c>
      <c r="H85" s="176"/>
      <c r="I85" s="64">
        <f t="shared" ca="1" si="5"/>
        <v>129</v>
      </c>
      <c r="J85" s="44" t="s">
        <v>15</v>
      </c>
      <c r="K85" s="140"/>
      <c r="L85" s="141"/>
      <c r="M85" s="181" t="s">
        <v>137</v>
      </c>
      <c r="N85" s="183" t="s">
        <v>140</v>
      </c>
      <c r="O85" s="126"/>
    </row>
    <row r="86" spans="1:16" x14ac:dyDescent="0.25">
      <c r="A86" s="23">
        <v>80</v>
      </c>
      <c r="B86" s="42">
        <v>43378</v>
      </c>
      <c r="C86" s="92" t="s">
        <v>151</v>
      </c>
      <c r="D86" s="142">
        <v>972</v>
      </c>
      <c r="E86" s="143">
        <v>43370</v>
      </c>
      <c r="F86" s="144">
        <v>180</v>
      </c>
      <c r="G86" s="145">
        <f t="shared" si="4"/>
        <v>43550</v>
      </c>
      <c r="H86" s="176"/>
      <c r="I86" s="64">
        <f t="shared" ca="1" si="5"/>
        <v>125</v>
      </c>
      <c r="J86" s="44" t="s">
        <v>15</v>
      </c>
      <c r="K86" s="140"/>
      <c r="L86" s="141"/>
      <c r="M86" s="202" t="s">
        <v>136</v>
      </c>
      <c r="N86" s="126" t="s">
        <v>135</v>
      </c>
      <c r="O86" s="126" t="s">
        <v>169</v>
      </c>
    </row>
    <row r="87" spans="1:16" x14ac:dyDescent="0.25">
      <c r="A87" s="23">
        <v>81</v>
      </c>
      <c r="B87" s="42">
        <v>43378</v>
      </c>
      <c r="C87" s="92" t="s">
        <v>120</v>
      </c>
      <c r="D87" s="142">
        <v>29</v>
      </c>
      <c r="E87" s="143">
        <v>43371</v>
      </c>
      <c r="F87" s="144">
        <v>180</v>
      </c>
      <c r="G87" s="145">
        <f t="shared" si="4"/>
        <v>43551</v>
      </c>
      <c r="H87" s="176"/>
      <c r="I87" s="64">
        <f t="shared" ca="1" si="5"/>
        <v>126</v>
      </c>
      <c r="J87" s="44" t="s">
        <v>15</v>
      </c>
      <c r="K87" s="140"/>
      <c r="L87" s="141"/>
      <c r="M87" s="126" t="s">
        <v>136</v>
      </c>
      <c r="N87" s="126" t="s">
        <v>135</v>
      </c>
      <c r="O87" s="126"/>
    </row>
    <row r="88" spans="1:16" x14ac:dyDescent="0.25">
      <c r="A88" s="23">
        <v>82</v>
      </c>
      <c r="B88" s="42">
        <v>43378</v>
      </c>
      <c r="C88" s="92" t="s">
        <v>26</v>
      </c>
      <c r="D88" s="142">
        <v>2002</v>
      </c>
      <c r="E88" s="143">
        <v>43374</v>
      </c>
      <c r="F88" s="144">
        <v>180</v>
      </c>
      <c r="G88" s="145">
        <f t="shared" si="4"/>
        <v>43554</v>
      </c>
      <c r="H88" s="176"/>
      <c r="I88" s="64">
        <f t="shared" ca="1" si="5"/>
        <v>129</v>
      </c>
      <c r="J88" s="44" t="s">
        <v>14</v>
      </c>
      <c r="K88" s="140"/>
      <c r="L88" s="141"/>
      <c r="M88" s="126" t="s">
        <v>136</v>
      </c>
      <c r="N88" s="126" t="s">
        <v>135</v>
      </c>
      <c r="O88" s="126"/>
    </row>
    <row r="89" spans="1:16" x14ac:dyDescent="0.25">
      <c r="A89" s="23">
        <v>83</v>
      </c>
      <c r="B89" s="42">
        <v>43381</v>
      </c>
      <c r="C89" s="92" t="s">
        <v>159</v>
      </c>
      <c r="D89" s="142">
        <v>24</v>
      </c>
      <c r="E89" s="143">
        <v>43361</v>
      </c>
      <c r="F89" s="144">
        <v>180</v>
      </c>
      <c r="G89" s="145">
        <f t="shared" si="4"/>
        <v>43541</v>
      </c>
      <c r="H89" s="177"/>
      <c r="I89" s="64">
        <f t="shared" ca="1" si="5"/>
        <v>116</v>
      </c>
      <c r="J89" s="44" t="s">
        <v>15</v>
      </c>
      <c r="K89" s="140"/>
      <c r="L89" s="141"/>
      <c r="M89" s="202" t="s">
        <v>136</v>
      </c>
      <c r="N89" s="126" t="s">
        <v>135</v>
      </c>
      <c r="O89" s="126"/>
    </row>
    <row r="90" spans="1:16" x14ac:dyDescent="0.25">
      <c r="A90" s="23">
        <v>84</v>
      </c>
      <c r="B90" s="42">
        <v>43381</v>
      </c>
      <c r="C90" s="92" t="s">
        <v>160</v>
      </c>
      <c r="D90" s="142">
        <v>1091</v>
      </c>
      <c r="E90" s="143">
        <v>43360</v>
      </c>
      <c r="F90" s="144">
        <v>180</v>
      </c>
      <c r="G90" s="145">
        <f t="shared" si="4"/>
        <v>43540</v>
      </c>
      <c r="H90" s="177"/>
      <c r="I90" s="64">
        <f t="shared" ca="1" si="5"/>
        <v>115</v>
      </c>
      <c r="J90" s="44" t="s">
        <v>15</v>
      </c>
      <c r="K90" s="140"/>
      <c r="L90" s="141" t="s">
        <v>167</v>
      </c>
      <c r="M90" s="126" t="s">
        <v>136</v>
      </c>
      <c r="N90" s="126" t="s">
        <v>135</v>
      </c>
      <c r="O90" s="126" t="s">
        <v>169</v>
      </c>
    </row>
    <row r="91" spans="1:16" x14ac:dyDescent="0.25">
      <c r="A91" s="23">
        <v>85</v>
      </c>
      <c r="B91" s="42">
        <v>43381</v>
      </c>
      <c r="C91" s="92" t="s">
        <v>161</v>
      </c>
      <c r="D91" s="142">
        <v>1114</v>
      </c>
      <c r="E91" s="143">
        <v>43364</v>
      </c>
      <c r="F91" s="144">
        <v>180</v>
      </c>
      <c r="G91" s="145">
        <f t="shared" si="4"/>
        <v>43544</v>
      </c>
      <c r="H91" s="177"/>
      <c r="I91" s="64">
        <f t="shared" ca="1" si="5"/>
        <v>119</v>
      </c>
      <c r="J91" s="44" t="s">
        <v>15</v>
      </c>
      <c r="K91" s="140"/>
      <c r="L91" s="141"/>
      <c r="M91" s="126" t="s">
        <v>136</v>
      </c>
      <c r="N91" s="126" t="s">
        <v>135</v>
      </c>
      <c r="O91" s="126"/>
    </row>
    <row r="92" spans="1:16" x14ac:dyDescent="0.25">
      <c r="A92" s="23">
        <v>86</v>
      </c>
      <c r="B92" s="42">
        <v>43382</v>
      </c>
      <c r="C92" s="92" t="s">
        <v>50</v>
      </c>
      <c r="D92" s="142">
        <v>137</v>
      </c>
      <c r="E92" s="143">
        <v>43382</v>
      </c>
      <c r="F92" s="144">
        <v>180</v>
      </c>
      <c r="G92" s="145">
        <f t="shared" si="4"/>
        <v>43562</v>
      </c>
      <c r="H92" s="185"/>
      <c r="I92" s="64">
        <f t="shared" ca="1" si="5"/>
        <v>137</v>
      </c>
      <c r="J92" s="44" t="s">
        <v>14</v>
      </c>
      <c r="K92" s="140"/>
      <c r="L92" s="141"/>
      <c r="M92" s="202" t="s">
        <v>136</v>
      </c>
      <c r="N92" s="126" t="s">
        <v>135</v>
      </c>
      <c r="O92" s="126" t="s">
        <v>169</v>
      </c>
    </row>
    <row r="93" spans="1:16" x14ac:dyDescent="0.25">
      <c r="A93" s="23">
        <v>87</v>
      </c>
      <c r="B93" s="42">
        <v>43382</v>
      </c>
      <c r="C93" s="92" t="s">
        <v>143</v>
      </c>
      <c r="D93" s="142">
        <v>63</v>
      </c>
      <c r="E93" s="143">
        <v>43342</v>
      </c>
      <c r="F93" s="144">
        <v>180</v>
      </c>
      <c r="G93" s="145">
        <f t="shared" si="4"/>
        <v>43522</v>
      </c>
      <c r="H93" s="185"/>
      <c r="I93" s="64">
        <f t="shared" ca="1" si="5"/>
        <v>97</v>
      </c>
      <c r="J93" s="44" t="s">
        <v>15</v>
      </c>
      <c r="K93" s="140"/>
      <c r="L93" s="141"/>
      <c r="M93" s="181" t="s">
        <v>137</v>
      </c>
      <c r="N93" s="183" t="s">
        <v>140</v>
      </c>
      <c r="O93" s="126"/>
    </row>
    <row r="94" spans="1:16" x14ac:dyDescent="0.25">
      <c r="A94" s="23">
        <v>88</v>
      </c>
      <c r="B94" s="42">
        <v>43389</v>
      </c>
      <c r="C94" s="92" t="s">
        <v>164</v>
      </c>
      <c r="D94" s="142">
        <v>38</v>
      </c>
      <c r="E94" s="143">
        <v>43376</v>
      </c>
      <c r="F94" s="144">
        <v>180</v>
      </c>
      <c r="G94" s="145">
        <f t="shared" si="4"/>
        <v>43556</v>
      </c>
      <c r="H94" s="186"/>
      <c r="I94" s="64">
        <f t="shared" ca="1" si="5"/>
        <v>131</v>
      </c>
      <c r="J94" s="44" t="s">
        <v>14</v>
      </c>
      <c r="K94" s="140"/>
      <c r="L94" s="141"/>
      <c r="M94" s="193" t="s">
        <v>139</v>
      </c>
      <c r="N94" s="126" t="s">
        <v>135</v>
      </c>
      <c r="O94" s="126"/>
      <c r="P94" t="s">
        <v>162</v>
      </c>
    </row>
    <row r="95" spans="1:16" x14ac:dyDescent="0.25">
      <c r="A95" s="23">
        <v>89</v>
      </c>
      <c r="B95" s="42">
        <v>43389</v>
      </c>
      <c r="C95" s="92" t="s">
        <v>53</v>
      </c>
      <c r="D95" s="142">
        <v>124</v>
      </c>
      <c r="E95" s="143">
        <v>43375</v>
      </c>
      <c r="F95" s="144">
        <v>180</v>
      </c>
      <c r="G95" s="145">
        <f t="shared" si="4"/>
        <v>43555</v>
      </c>
      <c r="H95" s="186"/>
      <c r="I95" s="64">
        <f t="shared" ca="1" si="5"/>
        <v>130</v>
      </c>
      <c r="J95" s="44" t="s">
        <v>14</v>
      </c>
      <c r="K95" s="140"/>
      <c r="L95" s="141"/>
      <c r="M95" s="193" t="s">
        <v>139</v>
      </c>
      <c r="N95" s="202" t="s">
        <v>135</v>
      </c>
      <c r="O95" s="126" t="s">
        <v>169</v>
      </c>
      <c r="P95" t="s">
        <v>162</v>
      </c>
    </row>
    <row r="96" spans="1:16" x14ac:dyDescent="0.25">
      <c r="A96" s="23">
        <v>90</v>
      </c>
      <c r="B96" s="42">
        <v>43392</v>
      </c>
      <c r="C96" s="92" t="s">
        <v>54</v>
      </c>
      <c r="D96" s="142">
        <v>19</v>
      </c>
      <c r="E96" s="143">
        <v>43381</v>
      </c>
      <c r="F96" s="144">
        <v>180</v>
      </c>
      <c r="G96" s="145">
        <f t="shared" si="4"/>
        <v>43561</v>
      </c>
      <c r="H96" s="187"/>
      <c r="I96" s="64">
        <f t="shared" ca="1" si="5"/>
        <v>136</v>
      </c>
      <c r="J96" s="44" t="s">
        <v>14</v>
      </c>
      <c r="K96" s="140"/>
      <c r="L96" s="141"/>
      <c r="M96" s="193" t="s">
        <v>139</v>
      </c>
      <c r="N96" s="126" t="s">
        <v>135</v>
      </c>
      <c r="O96" s="126"/>
      <c r="P96" t="s">
        <v>162</v>
      </c>
    </row>
    <row r="97" spans="1:16" x14ac:dyDescent="0.25">
      <c r="A97" s="23">
        <v>91</v>
      </c>
      <c r="B97" s="42">
        <v>43392</v>
      </c>
      <c r="C97" s="92" t="s">
        <v>152</v>
      </c>
      <c r="D97" s="142">
        <v>41</v>
      </c>
      <c r="E97" s="143">
        <v>43383</v>
      </c>
      <c r="F97" s="144">
        <v>180</v>
      </c>
      <c r="G97" s="145">
        <f t="shared" si="4"/>
        <v>43563</v>
      </c>
      <c r="H97" s="187"/>
      <c r="I97" s="64">
        <f t="shared" ca="1" si="5"/>
        <v>138</v>
      </c>
      <c r="J97" s="44" t="s">
        <v>15</v>
      </c>
      <c r="K97" s="140"/>
      <c r="L97" s="141"/>
      <c r="M97" s="126" t="s">
        <v>134</v>
      </c>
      <c r="N97" s="126" t="s">
        <v>134</v>
      </c>
      <c r="O97" s="126"/>
    </row>
    <row r="98" spans="1:16" x14ac:dyDescent="0.25">
      <c r="A98" s="23">
        <v>92</v>
      </c>
      <c r="B98" s="42">
        <v>43392</v>
      </c>
      <c r="C98" s="92" t="s">
        <v>165</v>
      </c>
      <c r="D98" s="142">
        <v>46</v>
      </c>
      <c r="E98" s="143">
        <v>43384</v>
      </c>
      <c r="F98" s="144">
        <v>90</v>
      </c>
      <c r="G98" s="145">
        <f t="shared" si="4"/>
        <v>43474</v>
      </c>
      <c r="H98" s="187"/>
      <c r="I98" s="64">
        <f t="shared" ca="1" si="5"/>
        <v>49</v>
      </c>
      <c r="J98" s="44" t="s">
        <v>15</v>
      </c>
      <c r="K98" s="140"/>
      <c r="L98" s="141"/>
      <c r="M98" s="193" t="s">
        <v>139</v>
      </c>
      <c r="N98" s="126" t="s">
        <v>134</v>
      </c>
      <c r="O98" s="126"/>
      <c r="P98" t="s">
        <v>162</v>
      </c>
    </row>
    <row r="99" spans="1:16" x14ac:dyDescent="0.25">
      <c r="A99" s="23">
        <v>93</v>
      </c>
      <c r="B99" s="42">
        <v>43392</v>
      </c>
      <c r="C99" s="92" t="s">
        <v>156</v>
      </c>
      <c r="D99" s="142">
        <v>73</v>
      </c>
      <c r="E99" s="143">
        <v>43388</v>
      </c>
      <c r="F99" s="144">
        <v>180</v>
      </c>
      <c r="G99" s="145">
        <f t="shared" si="4"/>
        <v>43568</v>
      </c>
      <c r="H99" s="187"/>
      <c r="I99" s="64">
        <f t="shared" ca="1" si="5"/>
        <v>143</v>
      </c>
      <c r="J99" s="44" t="s">
        <v>15</v>
      </c>
      <c r="K99" s="140"/>
      <c r="L99" s="141"/>
      <c r="M99" s="193" t="s">
        <v>139</v>
      </c>
      <c r="N99" s="213" t="s">
        <v>135</v>
      </c>
      <c r="O99" s="126"/>
      <c r="P99" t="s">
        <v>162</v>
      </c>
    </row>
    <row r="100" spans="1:16" x14ac:dyDescent="0.25">
      <c r="A100" s="23">
        <v>94</v>
      </c>
      <c r="B100" s="42">
        <v>43394</v>
      </c>
      <c r="C100" s="92" t="s">
        <v>108</v>
      </c>
      <c r="D100" s="142">
        <v>42</v>
      </c>
      <c r="E100" s="143">
        <v>43383</v>
      </c>
      <c r="F100" s="144">
        <v>180</v>
      </c>
      <c r="G100" s="145">
        <f t="shared" si="4"/>
        <v>43563</v>
      </c>
      <c r="H100" s="188"/>
      <c r="I100" s="64">
        <f t="shared" ca="1" si="5"/>
        <v>138</v>
      </c>
      <c r="J100" s="44" t="s">
        <v>15</v>
      </c>
      <c r="K100" s="140"/>
      <c r="L100" s="141"/>
      <c r="M100" s="193" t="s">
        <v>139</v>
      </c>
      <c r="N100" s="212" t="s">
        <v>135</v>
      </c>
      <c r="O100" s="126"/>
      <c r="P100" t="s">
        <v>162</v>
      </c>
    </row>
    <row r="101" spans="1:16" x14ac:dyDescent="0.25">
      <c r="A101" s="23">
        <v>95</v>
      </c>
      <c r="B101" s="42">
        <v>43394</v>
      </c>
      <c r="C101" s="92" t="s">
        <v>31</v>
      </c>
      <c r="D101" s="142">
        <v>291</v>
      </c>
      <c r="E101" s="143">
        <v>43382</v>
      </c>
      <c r="F101" s="144">
        <v>180</v>
      </c>
      <c r="G101" s="145">
        <f t="shared" si="4"/>
        <v>43562</v>
      </c>
      <c r="H101" s="188"/>
      <c r="I101" s="64">
        <f t="shared" ca="1" si="5"/>
        <v>137</v>
      </c>
      <c r="J101" s="44" t="s">
        <v>14</v>
      </c>
      <c r="K101" s="140"/>
      <c r="L101" s="141"/>
      <c r="M101" s="193" t="s">
        <v>139</v>
      </c>
      <c r="N101" s="212" t="s">
        <v>135</v>
      </c>
      <c r="O101" s="126"/>
      <c r="P101" t="s">
        <v>162</v>
      </c>
    </row>
    <row r="102" spans="1:16" x14ac:dyDescent="0.25">
      <c r="A102" s="23">
        <v>96</v>
      </c>
      <c r="B102" s="42">
        <v>43394</v>
      </c>
      <c r="C102" s="92" t="s">
        <v>38</v>
      </c>
      <c r="D102" s="142">
        <v>695</v>
      </c>
      <c r="E102" s="143">
        <v>43390</v>
      </c>
      <c r="F102" s="144">
        <v>180</v>
      </c>
      <c r="G102" s="145">
        <f t="shared" si="4"/>
        <v>43570</v>
      </c>
      <c r="H102" s="188"/>
      <c r="I102" s="64">
        <f t="shared" ref="I102:I133" ca="1" si="6">IF(H102="",IF(G102="","",G102-TODAY()),IF(G102-H102&gt;0,CONCATENATE("CONCLUÍDO COM ",G102-H102,"DIAS DE ANTECEDÊNCIA"),IF(G102-H102&lt;0,CONCATENATE("CONCLUÍDO COM ",H102-G102," DIAS DE ATRASO"),"CONCLUÍDO NO PRAZO")))</f>
        <v>145</v>
      </c>
      <c r="J102" s="44" t="s">
        <v>15</v>
      </c>
      <c r="K102" s="140"/>
      <c r="L102" s="141"/>
      <c r="M102" s="193" t="s">
        <v>139</v>
      </c>
      <c r="N102" s="212" t="s">
        <v>135</v>
      </c>
      <c r="O102" s="126"/>
      <c r="P102" t="s">
        <v>162</v>
      </c>
    </row>
    <row r="103" spans="1:16" x14ac:dyDescent="0.25">
      <c r="A103" s="23">
        <v>97</v>
      </c>
      <c r="B103" s="42">
        <v>43394</v>
      </c>
      <c r="C103" s="92" t="s">
        <v>127</v>
      </c>
      <c r="D103" s="142">
        <v>54</v>
      </c>
      <c r="E103" s="143">
        <v>43383</v>
      </c>
      <c r="F103" s="144">
        <v>180</v>
      </c>
      <c r="G103" s="145">
        <f t="shared" si="4"/>
        <v>43563</v>
      </c>
      <c r="H103" s="188"/>
      <c r="I103" s="64">
        <f t="shared" ca="1" si="6"/>
        <v>138</v>
      </c>
      <c r="J103" s="44" t="s">
        <v>15</v>
      </c>
      <c r="K103" s="140"/>
      <c r="L103" s="141"/>
      <c r="M103" s="126" t="s">
        <v>134</v>
      </c>
      <c r="N103" s="126" t="s">
        <v>134</v>
      </c>
      <c r="O103" s="126"/>
    </row>
    <row r="104" spans="1:16" x14ac:dyDescent="0.25">
      <c r="A104" s="23">
        <v>98</v>
      </c>
      <c r="B104" s="42">
        <v>43396</v>
      </c>
      <c r="C104" s="92" t="s">
        <v>166</v>
      </c>
      <c r="D104" s="142">
        <v>22</v>
      </c>
      <c r="E104" s="143">
        <v>43390</v>
      </c>
      <c r="F104" s="144">
        <v>180</v>
      </c>
      <c r="G104" s="145">
        <f t="shared" ref="G104:G120" si="7">E104+F104</f>
        <v>43570</v>
      </c>
      <c r="H104" s="189"/>
      <c r="I104" s="64">
        <f t="shared" ca="1" si="6"/>
        <v>145</v>
      </c>
      <c r="J104" s="44" t="s">
        <v>14</v>
      </c>
      <c r="K104" s="140"/>
      <c r="L104" s="141"/>
      <c r="M104" s="193" t="s">
        <v>139</v>
      </c>
      <c r="N104" s="212" t="s">
        <v>135</v>
      </c>
      <c r="O104" s="126"/>
      <c r="P104" t="s">
        <v>162</v>
      </c>
    </row>
    <row r="105" spans="1:16" x14ac:dyDescent="0.25">
      <c r="A105" s="23">
        <v>99</v>
      </c>
      <c r="B105" s="42">
        <v>43396</v>
      </c>
      <c r="C105" s="92" t="s">
        <v>97</v>
      </c>
      <c r="D105" s="142">
        <v>32</v>
      </c>
      <c r="E105" s="143">
        <v>43388</v>
      </c>
      <c r="F105" s="144">
        <v>180</v>
      </c>
      <c r="G105" s="145">
        <f t="shared" si="7"/>
        <v>43568</v>
      </c>
      <c r="H105" s="189"/>
      <c r="I105" s="64">
        <f t="shared" ca="1" si="6"/>
        <v>143</v>
      </c>
      <c r="J105" s="44" t="s">
        <v>14</v>
      </c>
      <c r="K105" s="140"/>
      <c r="L105" s="141"/>
      <c r="M105" s="193" t="s">
        <v>139</v>
      </c>
      <c r="N105" s="126" t="s">
        <v>134</v>
      </c>
      <c r="O105" s="126"/>
      <c r="P105" t="s">
        <v>162</v>
      </c>
    </row>
    <row r="106" spans="1:16" x14ac:dyDescent="0.25">
      <c r="A106" s="23">
        <v>100</v>
      </c>
      <c r="B106" s="42">
        <v>43398</v>
      </c>
      <c r="C106" s="92" t="s">
        <v>168</v>
      </c>
      <c r="D106" s="142">
        <v>281</v>
      </c>
      <c r="E106" s="143">
        <v>43391</v>
      </c>
      <c r="F106" s="144">
        <v>180</v>
      </c>
      <c r="G106" s="145">
        <f t="shared" si="7"/>
        <v>43571</v>
      </c>
      <c r="H106" s="190"/>
      <c r="I106" s="64">
        <f t="shared" ca="1" si="6"/>
        <v>146</v>
      </c>
      <c r="J106" s="44" t="s">
        <v>15</v>
      </c>
      <c r="K106" s="140"/>
      <c r="L106" s="141"/>
      <c r="M106" s="193" t="s">
        <v>139</v>
      </c>
      <c r="N106" s="126" t="s">
        <v>134</v>
      </c>
      <c r="O106" s="126"/>
      <c r="P106" t="s">
        <v>162</v>
      </c>
    </row>
    <row r="107" spans="1:16" x14ac:dyDescent="0.25">
      <c r="A107" s="23">
        <v>101</v>
      </c>
      <c r="B107" s="42">
        <v>43398</v>
      </c>
      <c r="C107" s="92" t="s">
        <v>49</v>
      </c>
      <c r="D107" s="142">
        <v>183</v>
      </c>
      <c r="E107" s="143">
        <v>43395</v>
      </c>
      <c r="F107" s="144">
        <v>180</v>
      </c>
      <c r="G107" s="145">
        <f t="shared" si="7"/>
        <v>43575</v>
      </c>
      <c r="H107" s="190"/>
      <c r="I107" s="64">
        <f t="shared" ca="1" si="6"/>
        <v>150</v>
      </c>
      <c r="J107" s="44" t="s">
        <v>14</v>
      </c>
      <c r="K107" s="140"/>
      <c r="L107" s="141"/>
      <c r="M107" s="193" t="s">
        <v>139</v>
      </c>
      <c r="N107" s="212" t="s">
        <v>135</v>
      </c>
      <c r="O107" s="126"/>
      <c r="P107" t="s">
        <v>162</v>
      </c>
    </row>
    <row r="108" spans="1:16" x14ac:dyDescent="0.25">
      <c r="A108" s="23">
        <v>102</v>
      </c>
      <c r="B108" s="42">
        <v>43399</v>
      </c>
      <c r="C108" s="92" t="s">
        <v>28</v>
      </c>
      <c r="D108" s="142">
        <v>117</v>
      </c>
      <c r="E108" s="143">
        <v>43383</v>
      </c>
      <c r="F108" s="144">
        <v>180</v>
      </c>
      <c r="G108" s="145">
        <f t="shared" si="7"/>
        <v>43563</v>
      </c>
      <c r="H108" s="191"/>
      <c r="I108" s="64">
        <f t="shared" ca="1" si="6"/>
        <v>138</v>
      </c>
      <c r="J108" s="44" t="s">
        <v>14</v>
      </c>
      <c r="K108" s="140"/>
      <c r="L108" s="141"/>
      <c r="M108" s="126" t="s">
        <v>134</v>
      </c>
      <c r="N108" s="212" t="s">
        <v>135</v>
      </c>
      <c r="O108" s="126"/>
    </row>
    <row r="109" spans="1:16" x14ac:dyDescent="0.25">
      <c r="A109" s="23">
        <v>103</v>
      </c>
      <c r="B109" s="42">
        <v>43399</v>
      </c>
      <c r="C109" s="92" t="s">
        <v>170</v>
      </c>
      <c r="D109" s="142">
        <v>3264</v>
      </c>
      <c r="E109" s="143">
        <v>43378</v>
      </c>
      <c r="F109" s="144">
        <v>180</v>
      </c>
      <c r="G109" s="145">
        <f t="shared" si="7"/>
        <v>43558</v>
      </c>
      <c r="H109" s="191"/>
      <c r="I109" s="64">
        <f t="shared" ca="1" si="6"/>
        <v>133</v>
      </c>
      <c r="J109" s="44" t="s">
        <v>15</v>
      </c>
      <c r="K109" s="140"/>
      <c r="L109" s="141"/>
      <c r="M109" s="126" t="s">
        <v>134</v>
      </c>
      <c r="N109" s="126" t="s">
        <v>134</v>
      </c>
      <c r="O109" s="126"/>
    </row>
    <row r="110" spans="1:16" x14ac:dyDescent="0.25">
      <c r="A110" s="23">
        <v>104</v>
      </c>
      <c r="B110" s="72">
        <v>43403</v>
      </c>
      <c r="C110" s="153" t="s">
        <v>163</v>
      </c>
      <c r="D110" s="154">
        <v>48</v>
      </c>
      <c r="E110" s="155">
        <v>43395</v>
      </c>
      <c r="F110" s="156">
        <v>180</v>
      </c>
      <c r="G110" s="157">
        <f t="shared" si="7"/>
        <v>43575</v>
      </c>
      <c r="H110" s="73"/>
      <c r="I110" s="74">
        <f t="shared" ca="1" si="6"/>
        <v>150</v>
      </c>
      <c r="J110" s="75" t="s">
        <v>15</v>
      </c>
      <c r="K110" s="197"/>
      <c r="L110" s="198"/>
      <c r="M110" s="193" t="s">
        <v>139</v>
      </c>
      <c r="N110" s="212" t="s">
        <v>135</v>
      </c>
      <c r="O110" s="139"/>
      <c r="P110" t="s">
        <v>162</v>
      </c>
    </row>
    <row r="111" spans="1:16" x14ac:dyDescent="0.25">
      <c r="A111" s="23">
        <v>105</v>
      </c>
      <c r="B111" s="42">
        <v>43403</v>
      </c>
      <c r="C111" s="92" t="s">
        <v>171</v>
      </c>
      <c r="D111" s="142">
        <v>1921</v>
      </c>
      <c r="E111" s="143">
        <v>43389</v>
      </c>
      <c r="F111" s="144">
        <v>180</v>
      </c>
      <c r="G111" s="145">
        <f t="shared" si="7"/>
        <v>43569</v>
      </c>
      <c r="H111" s="192"/>
      <c r="I111" s="64">
        <f t="shared" ca="1" si="6"/>
        <v>144</v>
      </c>
      <c r="J111" s="44" t="s">
        <v>14</v>
      </c>
      <c r="K111" s="140"/>
      <c r="L111" s="141"/>
      <c r="M111" s="202" t="s">
        <v>136</v>
      </c>
      <c r="N111" s="212" t="s">
        <v>135</v>
      </c>
      <c r="O111" s="126"/>
      <c r="P111" t="s">
        <v>162</v>
      </c>
    </row>
    <row r="112" spans="1:16" x14ac:dyDescent="0.25">
      <c r="A112" s="23">
        <v>106</v>
      </c>
      <c r="B112" s="42">
        <v>43404</v>
      </c>
      <c r="C112" s="92" t="s">
        <v>22</v>
      </c>
      <c r="D112" s="142">
        <v>72</v>
      </c>
      <c r="E112" s="143">
        <v>43381</v>
      </c>
      <c r="F112" s="144">
        <v>180</v>
      </c>
      <c r="G112" s="145">
        <f t="shared" si="7"/>
        <v>43561</v>
      </c>
      <c r="H112" s="194"/>
      <c r="I112" s="64">
        <f t="shared" ca="1" si="6"/>
        <v>136</v>
      </c>
      <c r="J112" s="44" t="s">
        <v>15</v>
      </c>
      <c r="K112" s="140"/>
      <c r="L112" s="141"/>
      <c r="M112" s="193" t="s">
        <v>139</v>
      </c>
      <c r="N112" s="212" t="s">
        <v>135</v>
      </c>
      <c r="O112" s="126"/>
      <c r="P112" t="s">
        <v>162</v>
      </c>
    </row>
    <row r="113" spans="1:16" x14ac:dyDescent="0.25">
      <c r="A113" s="23">
        <v>107</v>
      </c>
      <c r="B113" s="42">
        <v>43404</v>
      </c>
      <c r="C113" s="92" t="s">
        <v>73</v>
      </c>
      <c r="D113" s="142">
        <v>40</v>
      </c>
      <c r="E113" s="143">
        <v>43395</v>
      </c>
      <c r="F113" s="144">
        <v>180</v>
      </c>
      <c r="G113" s="145">
        <f t="shared" si="7"/>
        <v>43575</v>
      </c>
      <c r="H113" s="194"/>
      <c r="I113" s="64">
        <f t="shared" ca="1" si="6"/>
        <v>150</v>
      </c>
      <c r="J113" s="44" t="s">
        <v>15</v>
      </c>
      <c r="K113" s="140"/>
      <c r="L113" s="141"/>
      <c r="M113" s="126" t="s">
        <v>134</v>
      </c>
      <c r="N113" s="126" t="s">
        <v>134</v>
      </c>
      <c r="O113" s="126"/>
    </row>
    <row r="114" spans="1:16" x14ac:dyDescent="0.25">
      <c r="A114" s="23">
        <v>108</v>
      </c>
      <c r="B114" s="42">
        <v>43404</v>
      </c>
      <c r="C114" s="92" t="s">
        <v>60</v>
      </c>
      <c r="D114" s="142">
        <v>32</v>
      </c>
      <c r="E114" s="143">
        <v>43402</v>
      </c>
      <c r="F114" s="144">
        <v>180</v>
      </c>
      <c r="G114" s="145">
        <f t="shared" si="7"/>
        <v>43582</v>
      </c>
      <c r="H114" s="192"/>
      <c r="I114" s="64">
        <f t="shared" ca="1" si="6"/>
        <v>157</v>
      </c>
      <c r="J114" s="44" t="s">
        <v>14</v>
      </c>
      <c r="K114" s="140"/>
      <c r="L114" s="141"/>
      <c r="M114" s="193" t="s">
        <v>139</v>
      </c>
      <c r="N114" s="212" t="s">
        <v>135</v>
      </c>
      <c r="O114" s="126"/>
      <c r="P114" t="s">
        <v>162</v>
      </c>
    </row>
    <row r="115" spans="1:16" x14ac:dyDescent="0.25">
      <c r="A115" s="23">
        <v>109</v>
      </c>
      <c r="B115" s="199">
        <v>43409</v>
      </c>
      <c r="C115" s="92" t="s">
        <v>57</v>
      </c>
      <c r="D115" s="200">
        <v>1160</v>
      </c>
      <c r="E115" s="199">
        <v>43404</v>
      </c>
      <c r="F115" s="144">
        <v>180</v>
      </c>
      <c r="G115" s="201">
        <f t="shared" si="7"/>
        <v>43584</v>
      </c>
      <c r="H115" s="126"/>
      <c r="I115" s="64">
        <f t="shared" ca="1" si="6"/>
        <v>159</v>
      </c>
      <c r="J115" s="44" t="s">
        <v>14</v>
      </c>
      <c r="K115" s="140"/>
      <c r="L115" s="141"/>
      <c r="M115" s="126" t="s">
        <v>134</v>
      </c>
      <c r="N115" s="126" t="s">
        <v>134</v>
      </c>
      <c r="O115" s="126"/>
    </row>
    <row r="116" spans="1:16" x14ac:dyDescent="0.25">
      <c r="A116" s="23">
        <v>110</v>
      </c>
      <c r="B116" s="199">
        <v>43412</v>
      </c>
      <c r="C116" s="92" t="s">
        <v>172</v>
      </c>
      <c r="D116" s="200">
        <v>36</v>
      </c>
      <c r="E116" s="199">
        <v>43402</v>
      </c>
      <c r="F116" s="144">
        <v>180</v>
      </c>
      <c r="G116" s="201">
        <f t="shared" si="7"/>
        <v>43582</v>
      </c>
      <c r="H116" s="126"/>
      <c r="I116" s="64">
        <f t="shared" ca="1" si="6"/>
        <v>157</v>
      </c>
      <c r="J116" s="44" t="s">
        <v>15</v>
      </c>
      <c r="K116" s="140"/>
      <c r="L116" s="141"/>
      <c r="M116" s="193" t="s">
        <v>139</v>
      </c>
      <c r="N116" s="126" t="s">
        <v>134</v>
      </c>
      <c r="O116" s="126"/>
      <c r="P116" t="s">
        <v>162</v>
      </c>
    </row>
    <row r="117" spans="1:16" x14ac:dyDescent="0.25">
      <c r="A117" s="23">
        <v>111</v>
      </c>
      <c r="B117" s="199">
        <v>43413</v>
      </c>
      <c r="C117" s="123" t="s">
        <v>173</v>
      </c>
      <c r="D117" s="200">
        <v>40</v>
      </c>
      <c r="E117" s="199">
        <v>43410</v>
      </c>
      <c r="F117" s="144">
        <v>180</v>
      </c>
      <c r="G117" s="201">
        <f t="shared" si="7"/>
        <v>43590</v>
      </c>
      <c r="H117" s="126"/>
      <c r="I117" s="64">
        <f t="shared" ca="1" si="6"/>
        <v>165</v>
      </c>
      <c r="J117" s="44" t="s">
        <v>15</v>
      </c>
      <c r="K117" s="140"/>
      <c r="L117" s="141"/>
      <c r="M117" s="126" t="s">
        <v>134</v>
      </c>
      <c r="N117" s="126" t="s">
        <v>134</v>
      </c>
      <c r="O117" s="126"/>
    </row>
    <row r="118" spans="1:16" x14ac:dyDescent="0.25">
      <c r="A118" s="23">
        <v>112</v>
      </c>
      <c r="B118" s="199">
        <v>43416</v>
      </c>
      <c r="C118" s="123" t="s">
        <v>65</v>
      </c>
      <c r="D118" s="200">
        <v>78</v>
      </c>
      <c r="E118" s="199">
        <v>43395</v>
      </c>
      <c r="F118" s="144">
        <v>180</v>
      </c>
      <c r="G118" s="201">
        <f t="shared" si="7"/>
        <v>43575</v>
      </c>
      <c r="H118" s="126"/>
      <c r="I118" s="64">
        <f t="shared" ca="1" si="6"/>
        <v>150</v>
      </c>
      <c r="J118" s="44" t="s">
        <v>15</v>
      </c>
      <c r="K118" s="140"/>
      <c r="L118" s="141"/>
      <c r="M118" s="126" t="s">
        <v>134</v>
      </c>
      <c r="N118" s="126" t="s">
        <v>134</v>
      </c>
      <c r="O118" s="126"/>
    </row>
    <row r="119" spans="1:16" x14ac:dyDescent="0.25">
      <c r="A119" s="23">
        <v>113</v>
      </c>
      <c r="B119" s="199">
        <v>43416</v>
      </c>
      <c r="C119" s="123" t="s">
        <v>52</v>
      </c>
      <c r="D119" s="200">
        <v>69</v>
      </c>
      <c r="E119" s="199">
        <v>43395</v>
      </c>
      <c r="F119" s="144">
        <v>180</v>
      </c>
      <c r="G119" s="201">
        <f t="shared" si="7"/>
        <v>43575</v>
      </c>
      <c r="H119" s="126"/>
      <c r="I119" s="64">
        <f t="shared" ca="1" si="6"/>
        <v>150</v>
      </c>
      <c r="J119" s="44" t="s">
        <v>14</v>
      </c>
      <c r="K119" s="140"/>
      <c r="L119" s="141"/>
      <c r="M119" s="126" t="s">
        <v>134</v>
      </c>
      <c r="N119" s="126" t="s">
        <v>134</v>
      </c>
      <c r="O119" s="126"/>
    </row>
    <row r="120" spans="1:16" x14ac:dyDescent="0.25">
      <c r="A120" s="23">
        <v>114</v>
      </c>
      <c r="B120" s="203">
        <v>43416</v>
      </c>
      <c r="C120" s="204" t="s">
        <v>58</v>
      </c>
      <c r="D120" s="205">
        <v>834</v>
      </c>
      <c r="E120" s="203">
        <v>43411</v>
      </c>
      <c r="F120" s="206">
        <v>180</v>
      </c>
      <c r="G120" s="207">
        <f t="shared" si="7"/>
        <v>43591</v>
      </c>
      <c r="H120" s="208"/>
      <c r="I120" s="209">
        <f t="shared" ca="1" si="6"/>
        <v>166</v>
      </c>
      <c r="J120" s="210" t="s">
        <v>15</v>
      </c>
      <c r="K120" s="19"/>
      <c r="L120" s="211"/>
      <c r="M120" s="126" t="s">
        <v>134</v>
      </c>
      <c r="N120" s="126" t="s">
        <v>134</v>
      </c>
      <c r="O120" s="126"/>
    </row>
    <row r="121" spans="1:16" x14ac:dyDescent="0.25">
      <c r="A121" s="225" t="s">
        <v>174</v>
      </c>
      <c r="B121" s="225"/>
      <c r="C121" s="225"/>
      <c r="D121" s="225"/>
      <c r="E121" s="225"/>
      <c r="F121" s="225"/>
      <c r="G121" s="225"/>
      <c r="H121" s="225"/>
      <c r="I121" s="225"/>
      <c r="J121" s="225"/>
      <c r="K121" s="19"/>
      <c r="L121" s="211"/>
      <c r="M121" s="218" t="s">
        <v>174</v>
      </c>
      <c r="N121" s="219"/>
      <c r="O121" s="220"/>
    </row>
    <row r="122" spans="1:16" x14ac:dyDescent="0.25">
      <c r="K122" s="19"/>
    </row>
    <row r="123" spans="1:16" x14ac:dyDescent="0.25">
      <c r="B123" s="215" t="s">
        <v>11</v>
      </c>
      <c r="C123" s="216"/>
      <c r="D123" s="216"/>
      <c r="E123" s="216"/>
      <c r="F123" s="217"/>
      <c r="K123" s="19"/>
    </row>
    <row r="124" spans="1:16" x14ac:dyDescent="0.25">
      <c r="K124" s="17"/>
    </row>
    <row r="125" spans="1:16" x14ac:dyDescent="0.25">
      <c r="C125" s="24" t="s">
        <v>16</v>
      </c>
      <c r="D125" s="24">
        <f>COUNTIF(J6:J122, "seca")</f>
        <v>38</v>
      </c>
      <c r="K125" s="16"/>
    </row>
    <row r="126" spans="1:16" x14ac:dyDescent="0.25">
      <c r="C126" s="24" t="s">
        <v>17</v>
      </c>
      <c r="D126" s="24">
        <f>COUNTIF(J6:J122, "estiagem")</f>
        <v>77</v>
      </c>
      <c r="F126" t="s">
        <v>13</v>
      </c>
      <c r="K126" s="17"/>
    </row>
    <row r="127" spans="1:16" x14ac:dyDescent="0.25">
      <c r="C127" s="25" t="s">
        <v>84</v>
      </c>
      <c r="D127" s="25">
        <f>SUM(D125:D126)</f>
        <v>115</v>
      </c>
      <c r="K127" s="3"/>
    </row>
    <row r="128" spans="1:16" x14ac:dyDescent="0.25">
      <c r="C128" s="25" t="s">
        <v>148</v>
      </c>
      <c r="D128" s="159">
        <f>D127-1</f>
        <v>114</v>
      </c>
      <c r="K128" s="17"/>
    </row>
    <row r="129" spans="3:11" x14ac:dyDescent="0.25">
      <c r="C129" s="158"/>
      <c r="I129" s="1"/>
      <c r="K129" s="17"/>
    </row>
    <row r="130" spans="3:11" ht="17.25" x14ac:dyDescent="0.3">
      <c r="D130" s="90"/>
      <c r="K130" s="17"/>
    </row>
    <row r="131" spans="3:11" x14ac:dyDescent="0.25">
      <c r="C131" s="63" t="s">
        <v>111</v>
      </c>
      <c r="K131" s="16"/>
    </row>
    <row r="132" spans="3:11" x14ac:dyDescent="0.25">
      <c r="C132" s="170" t="s">
        <v>117</v>
      </c>
    </row>
    <row r="133" spans="3:11" x14ac:dyDescent="0.25">
      <c r="C133" s="93"/>
    </row>
    <row r="134" spans="3:11" x14ac:dyDescent="0.25">
      <c r="C134" s="93"/>
    </row>
    <row r="135" spans="3:11" x14ac:dyDescent="0.25">
      <c r="C135" s="93"/>
    </row>
    <row r="136" spans="3:11" x14ac:dyDescent="0.25">
      <c r="C136" s="93"/>
    </row>
    <row r="137" spans="3:11" x14ac:dyDescent="0.25">
      <c r="C137" s="120"/>
    </row>
    <row r="139" spans="3:11" x14ac:dyDescent="0.25">
      <c r="C139" s="94"/>
    </row>
  </sheetData>
  <autoFilter ref="A5:O109"/>
  <sortState ref="A6:J79">
    <sortCondition ref="I6:I79"/>
  </sortState>
  <mergeCells count="15">
    <mergeCell ref="M1:O1"/>
    <mergeCell ref="A1:J1"/>
    <mergeCell ref="A121:J121"/>
    <mergeCell ref="I3:I5"/>
    <mergeCell ref="J3:J5"/>
    <mergeCell ref="A3:A5"/>
    <mergeCell ref="C3:C5"/>
    <mergeCell ref="D3:F4"/>
    <mergeCell ref="G3:G5"/>
    <mergeCell ref="B3:B5"/>
    <mergeCell ref="O3:O5"/>
    <mergeCell ref="N3:N5"/>
    <mergeCell ref="M3:M5"/>
    <mergeCell ref="B123:F123"/>
    <mergeCell ref="M121:O121"/>
  </mergeCells>
  <conditionalFormatting sqref="I29:I93 I7:I27">
    <cfRule type="colorScale" priority="22623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29:I93 I7:I27">
    <cfRule type="colorScale" priority="22622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6">
    <cfRule type="colorScale" priority="20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6">
    <cfRule type="colorScale" priority="19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6">
    <cfRule type="colorScale" priority="21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22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3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6">
    <cfRule type="colorScale" priority="24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5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26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27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28">
    <cfRule type="colorScale" priority="11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28">
    <cfRule type="colorScale" priority="10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28">
    <cfRule type="colorScale" priority="12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3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4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28">
    <cfRule type="colorScale" priority="15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6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7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8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29:I93 I7:I27">
    <cfRule type="colorScale" priority="36869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36870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36871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29:I93 I7:I27">
    <cfRule type="colorScale" priority="36884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36885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36886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36887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94:I120">
    <cfRule type="colorScale" priority="2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94:I120">
    <cfRule type="colorScale" priority="1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94:I120">
    <cfRule type="colorScale" priority="36902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36903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36904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94:I120">
    <cfRule type="colorScale" priority="36905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36906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36907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36908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printOptions horizontalCentered="1"/>
  <pageMargins left="0.19685039370078741" right="0.19685039370078741" top="0.19685039370078741" bottom="0.19685039370078741" header="0.31496062992125984" footer="0.31496062992125984"/>
  <pageSetup paperSize="9" scale="59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3"/>
  <sheetViews>
    <sheetView topLeftCell="A22" zoomScale="80" zoomScaleNormal="80" workbookViewId="0">
      <selection activeCell="L52" sqref="L52:L53"/>
    </sheetView>
  </sheetViews>
  <sheetFormatPr defaultRowHeight="15" x14ac:dyDescent="0.25"/>
  <cols>
    <col min="1" max="1" width="6.42578125" customWidth="1"/>
    <col min="2" max="2" width="12.28515625" customWidth="1"/>
    <col min="3" max="3" width="29.42578125" bestFit="1" customWidth="1"/>
    <col min="4" max="4" width="10.42578125" bestFit="1" customWidth="1"/>
    <col min="5" max="5" width="12" bestFit="1" customWidth="1"/>
    <col min="6" max="6" width="11.140625" customWidth="1"/>
    <col min="7" max="7" width="11.28515625" customWidth="1"/>
    <col min="8" max="8" width="0" hidden="1" customWidth="1"/>
    <col min="9" max="9" width="14.85546875" customWidth="1"/>
    <col min="11" max="11" width="0.85546875" customWidth="1"/>
    <col min="12" max="12" width="14.5703125" bestFit="1" customWidth="1"/>
    <col min="13" max="13" width="14" bestFit="1" customWidth="1"/>
    <col min="14" max="14" width="14.5703125" bestFit="1" customWidth="1"/>
  </cols>
  <sheetData>
    <row r="1" spans="1:14" ht="39" x14ac:dyDescent="0.25">
      <c r="A1" s="238" t="s">
        <v>45</v>
      </c>
      <c r="B1" s="238"/>
      <c r="C1" s="238"/>
      <c r="D1" s="238"/>
      <c r="E1" s="238"/>
      <c r="F1" s="238"/>
      <c r="G1" s="238"/>
      <c r="H1" s="238"/>
      <c r="I1" s="238"/>
      <c r="J1" s="238"/>
    </row>
    <row r="2" spans="1:14" ht="39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4" ht="28.5" x14ac:dyDescent="0.25">
      <c r="A3" s="221" t="s">
        <v>10</v>
      </c>
      <c r="B3" s="237" t="s">
        <v>12</v>
      </c>
      <c r="C3" s="221" t="s">
        <v>0</v>
      </c>
      <c r="D3" s="230" t="s">
        <v>1</v>
      </c>
      <c r="E3" s="231"/>
      <c r="F3" s="232"/>
      <c r="G3" s="230" t="s">
        <v>2</v>
      </c>
      <c r="H3" s="12"/>
      <c r="I3" s="226" t="s">
        <v>9</v>
      </c>
      <c r="J3" s="221" t="s">
        <v>3</v>
      </c>
      <c r="L3" s="224" t="s">
        <v>134</v>
      </c>
      <c r="M3" s="224"/>
      <c r="N3" s="224"/>
    </row>
    <row r="4" spans="1:14" x14ac:dyDescent="0.25">
      <c r="A4" s="222"/>
      <c r="B4" s="222"/>
      <c r="C4" s="222"/>
      <c r="D4" s="233"/>
      <c r="E4" s="234"/>
      <c r="F4" s="235"/>
      <c r="G4" s="236"/>
      <c r="H4" s="15"/>
      <c r="I4" s="222"/>
      <c r="J4" s="222"/>
      <c r="L4" s="227" t="s">
        <v>131</v>
      </c>
      <c r="M4" s="227" t="s">
        <v>132</v>
      </c>
      <c r="N4" s="227" t="s">
        <v>133</v>
      </c>
    </row>
    <row r="5" spans="1:14" x14ac:dyDescent="0.25">
      <c r="A5" s="223"/>
      <c r="B5" s="223"/>
      <c r="C5" s="223"/>
      <c r="D5" s="5" t="s">
        <v>6</v>
      </c>
      <c r="E5" s="9" t="s">
        <v>7</v>
      </c>
      <c r="F5" s="8" t="s">
        <v>8</v>
      </c>
      <c r="G5" s="233"/>
      <c r="H5" s="14"/>
      <c r="I5" s="223"/>
      <c r="J5" s="223"/>
      <c r="L5" s="227"/>
      <c r="M5" s="227"/>
      <c r="N5" s="227"/>
    </row>
    <row r="6" spans="1:14" x14ac:dyDescent="0.25">
      <c r="A6" s="23">
        <v>1</v>
      </c>
      <c r="B6" s="26">
        <v>43108</v>
      </c>
      <c r="C6" s="27" t="s">
        <v>40</v>
      </c>
      <c r="D6" s="29">
        <v>1783</v>
      </c>
      <c r="E6" s="28">
        <v>43102</v>
      </c>
      <c r="F6" s="29">
        <v>180</v>
      </c>
      <c r="G6" s="22">
        <f t="shared" ref="G6:G9" si="0">E6+F6</f>
        <v>43282</v>
      </c>
      <c r="H6" s="18"/>
      <c r="I6" s="7">
        <f t="shared" ref="I6:I9" ca="1" si="1">IF(H6="",IF(G6="","",G6-TODAY()),IF(G6-H6&gt;0,CONCATENATE("CONCLUÍDO COM ",G6-H6,"DIAS DE ANTECEDÊNCIA"),IF(G6-H6&lt;0,CONCATENATE("CONCLUÍDO COM ",H6-G6," DIAS DE ATRASO"),"CONCLUÍDO NO PRAZO")))</f>
        <v>-143</v>
      </c>
      <c r="J6" s="35" t="s">
        <v>15</v>
      </c>
      <c r="L6" s="137"/>
      <c r="M6" s="137"/>
      <c r="N6" s="137"/>
    </row>
    <row r="7" spans="1:14" x14ac:dyDescent="0.25">
      <c r="A7" s="23">
        <v>2</v>
      </c>
      <c r="B7" s="26">
        <v>43117</v>
      </c>
      <c r="C7" s="27" t="s">
        <v>20</v>
      </c>
      <c r="D7" s="29">
        <v>2</v>
      </c>
      <c r="E7" s="28">
        <v>43102</v>
      </c>
      <c r="F7" s="29">
        <v>180</v>
      </c>
      <c r="G7" s="22">
        <f t="shared" si="0"/>
        <v>43282</v>
      </c>
      <c r="H7" s="18"/>
      <c r="I7" s="7">
        <f t="shared" ca="1" si="1"/>
        <v>-143</v>
      </c>
      <c r="J7" s="35" t="s">
        <v>15</v>
      </c>
      <c r="L7" s="137"/>
      <c r="M7" s="137"/>
      <c r="N7" s="137"/>
    </row>
    <row r="8" spans="1:14" x14ac:dyDescent="0.25">
      <c r="A8" s="23">
        <v>3</v>
      </c>
      <c r="B8" s="26">
        <v>43111</v>
      </c>
      <c r="C8" s="27" t="s">
        <v>41</v>
      </c>
      <c r="D8" s="29">
        <v>3465</v>
      </c>
      <c r="E8" s="28">
        <v>43104</v>
      </c>
      <c r="F8" s="29">
        <v>180</v>
      </c>
      <c r="G8" s="22">
        <f t="shared" si="0"/>
        <v>43284</v>
      </c>
      <c r="H8" s="18"/>
      <c r="I8" s="7">
        <f t="shared" ca="1" si="1"/>
        <v>-141</v>
      </c>
      <c r="J8" s="35" t="s">
        <v>15</v>
      </c>
      <c r="L8" s="137"/>
      <c r="M8" s="137"/>
      <c r="N8" s="137"/>
    </row>
    <row r="9" spans="1:14" x14ac:dyDescent="0.25">
      <c r="A9" s="23">
        <v>4</v>
      </c>
      <c r="B9" s="26">
        <v>43112</v>
      </c>
      <c r="C9" s="27" t="s">
        <v>23</v>
      </c>
      <c r="D9" s="29">
        <v>1</v>
      </c>
      <c r="E9" s="28">
        <v>43104</v>
      </c>
      <c r="F9" s="29">
        <v>180</v>
      </c>
      <c r="G9" s="22">
        <f t="shared" si="0"/>
        <v>43284</v>
      </c>
      <c r="H9" s="18"/>
      <c r="I9" s="7">
        <f t="shared" ca="1" si="1"/>
        <v>-141</v>
      </c>
      <c r="J9" s="35" t="s">
        <v>15</v>
      </c>
      <c r="L9" s="137"/>
      <c r="M9" s="137"/>
      <c r="N9" s="137"/>
    </row>
    <row r="10" spans="1:14" x14ac:dyDescent="0.25">
      <c r="A10" s="23">
        <v>1</v>
      </c>
      <c r="B10" s="26">
        <v>43119</v>
      </c>
      <c r="C10" s="27" t="s">
        <v>37</v>
      </c>
      <c r="D10" s="29">
        <v>3</v>
      </c>
      <c r="E10" s="28">
        <v>43116</v>
      </c>
      <c r="F10" s="29">
        <v>180</v>
      </c>
      <c r="G10" s="22">
        <f t="shared" ref="G10:G15" si="2">E10+F10</f>
        <v>43296</v>
      </c>
      <c r="H10" s="18"/>
      <c r="I10" s="7">
        <f t="shared" ref="I10:I15" ca="1" si="3">IF(H10="",IF(G10="","",G10-TODAY()),IF(G10-H10&gt;0,CONCATENATE("CONCLUÍDO COM ",G10-H10,"DIAS DE ANTECEDÊNCIA"),IF(G10-H10&lt;0,CONCATENATE("CONCLUÍDO COM ",H10-G10," DIAS DE ATRASO"),"CONCLUÍDO NO PRAZO")))</f>
        <v>-129</v>
      </c>
      <c r="J10" s="35" t="s">
        <v>14</v>
      </c>
      <c r="L10" s="137"/>
      <c r="M10" s="137"/>
      <c r="N10" s="137"/>
    </row>
    <row r="11" spans="1:14" x14ac:dyDescent="0.25">
      <c r="A11" s="23">
        <v>1</v>
      </c>
      <c r="B11" s="26">
        <v>43124</v>
      </c>
      <c r="C11" s="27" t="s">
        <v>22</v>
      </c>
      <c r="D11" s="29">
        <v>5</v>
      </c>
      <c r="E11" s="28">
        <v>43118</v>
      </c>
      <c r="F11" s="29">
        <v>180</v>
      </c>
      <c r="G11" s="22">
        <f t="shared" si="2"/>
        <v>43298</v>
      </c>
      <c r="H11" s="18"/>
      <c r="I11" s="7">
        <f t="shared" ca="1" si="3"/>
        <v>-127</v>
      </c>
      <c r="J11" s="35" t="s">
        <v>15</v>
      </c>
      <c r="L11" s="137"/>
      <c r="M11" s="137"/>
      <c r="N11" s="137"/>
    </row>
    <row r="12" spans="1:14" x14ac:dyDescent="0.25">
      <c r="A12" s="23">
        <v>1</v>
      </c>
      <c r="B12" s="26">
        <v>43130</v>
      </c>
      <c r="C12" s="27" t="s">
        <v>42</v>
      </c>
      <c r="D12" s="29">
        <v>2</v>
      </c>
      <c r="E12" s="28">
        <v>43119</v>
      </c>
      <c r="F12" s="29">
        <v>180</v>
      </c>
      <c r="G12" s="22">
        <f t="shared" si="2"/>
        <v>43299</v>
      </c>
      <c r="H12" s="18"/>
      <c r="I12" s="7">
        <f t="shared" ca="1" si="3"/>
        <v>-126</v>
      </c>
      <c r="J12" s="29" t="s">
        <v>15</v>
      </c>
      <c r="L12" s="137"/>
      <c r="M12" s="137"/>
      <c r="N12" s="137"/>
    </row>
    <row r="13" spans="1:14" x14ac:dyDescent="0.25">
      <c r="A13" s="23">
        <v>1</v>
      </c>
      <c r="B13" s="26">
        <v>43124</v>
      </c>
      <c r="C13" s="27" t="s">
        <v>38</v>
      </c>
      <c r="D13" s="29">
        <v>647</v>
      </c>
      <c r="E13" s="28">
        <v>43123</v>
      </c>
      <c r="F13" s="29">
        <v>180</v>
      </c>
      <c r="G13" s="22">
        <f t="shared" si="2"/>
        <v>43303</v>
      </c>
      <c r="H13" s="18"/>
      <c r="I13" s="7">
        <f t="shared" ca="1" si="3"/>
        <v>-122</v>
      </c>
      <c r="J13" s="35" t="s">
        <v>15</v>
      </c>
      <c r="L13" s="137"/>
      <c r="M13" s="137"/>
      <c r="N13" s="137"/>
    </row>
    <row r="14" spans="1:14" x14ac:dyDescent="0.25">
      <c r="A14" s="23">
        <v>2</v>
      </c>
      <c r="B14" s="26">
        <v>43137</v>
      </c>
      <c r="C14" s="27" t="s">
        <v>35</v>
      </c>
      <c r="D14" s="29">
        <v>40</v>
      </c>
      <c r="E14" s="28">
        <v>43123</v>
      </c>
      <c r="F14" s="29">
        <v>180</v>
      </c>
      <c r="G14" s="22">
        <f t="shared" si="2"/>
        <v>43303</v>
      </c>
      <c r="H14" s="18"/>
      <c r="I14" s="7">
        <f t="shared" ca="1" si="3"/>
        <v>-122</v>
      </c>
      <c r="J14" s="29" t="s">
        <v>15</v>
      </c>
      <c r="L14" s="137"/>
      <c r="M14" s="137"/>
      <c r="N14" s="137"/>
    </row>
    <row r="15" spans="1:14" x14ac:dyDescent="0.25">
      <c r="A15" s="23">
        <v>1</v>
      </c>
      <c r="B15" s="30">
        <v>43130</v>
      </c>
      <c r="C15" s="27" t="s">
        <v>19</v>
      </c>
      <c r="D15" s="29">
        <v>5</v>
      </c>
      <c r="E15" s="28">
        <v>43124</v>
      </c>
      <c r="F15" s="29">
        <v>180</v>
      </c>
      <c r="G15" s="22">
        <f t="shared" si="2"/>
        <v>43304</v>
      </c>
      <c r="H15" s="18"/>
      <c r="I15" s="7">
        <f t="shared" ca="1" si="3"/>
        <v>-121</v>
      </c>
      <c r="J15" s="29" t="s">
        <v>15</v>
      </c>
      <c r="L15" s="137"/>
      <c r="M15" s="137"/>
      <c r="N15" s="137"/>
    </row>
    <row r="16" spans="1:14" x14ac:dyDescent="0.25">
      <c r="A16" s="23">
        <v>1</v>
      </c>
      <c r="B16" s="30">
        <v>43146</v>
      </c>
      <c r="C16" s="27" t="s">
        <v>26</v>
      </c>
      <c r="D16" s="29">
        <v>1950</v>
      </c>
      <c r="E16" s="28">
        <v>43125</v>
      </c>
      <c r="F16" s="29">
        <v>180</v>
      </c>
      <c r="G16" s="22">
        <f t="shared" ref="G16:G21" si="4">E16+F16</f>
        <v>43305</v>
      </c>
      <c r="H16" s="18"/>
      <c r="I16" s="7">
        <f t="shared" ref="I16:I21" ca="1" si="5">IF(H16="",IF(G16="","",G16-TODAY()),IF(G16-H16&gt;0,CONCATENATE("CONCLUÍDO COM ",G16-H16,"DIAS DE ANTECEDÊNCIA"),IF(G16-H16&lt;0,CONCATENATE("CONCLUÍDO COM ",H16-G16," DIAS DE ATRASO"),"CONCLUÍDO NO PRAZO")))</f>
        <v>-120</v>
      </c>
      <c r="J16" s="29" t="s">
        <v>15</v>
      </c>
      <c r="L16" s="137"/>
      <c r="M16" s="137"/>
      <c r="N16" s="137"/>
    </row>
    <row r="17" spans="1:14" x14ac:dyDescent="0.25">
      <c r="A17" s="23">
        <v>1</v>
      </c>
      <c r="B17" s="30">
        <v>43136</v>
      </c>
      <c r="C17" s="31" t="s">
        <v>21</v>
      </c>
      <c r="D17" s="29">
        <v>10</v>
      </c>
      <c r="E17" s="28">
        <v>43126</v>
      </c>
      <c r="F17" s="29">
        <v>180</v>
      </c>
      <c r="G17" s="22">
        <f t="shared" si="4"/>
        <v>43306</v>
      </c>
      <c r="H17" s="18"/>
      <c r="I17" s="7">
        <f t="shared" ca="1" si="5"/>
        <v>-119</v>
      </c>
      <c r="J17" s="29" t="s">
        <v>15</v>
      </c>
      <c r="L17" s="137"/>
      <c r="M17" s="137"/>
      <c r="N17" s="137"/>
    </row>
    <row r="18" spans="1:14" x14ac:dyDescent="0.25">
      <c r="A18" s="23">
        <v>1</v>
      </c>
      <c r="B18" s="30">
        <v>43129</v>
      </c>
      <c r="C18" s="31" t="s">
        <v>24</v>
      </c>
      <c r="D18" s="29">
        <v>4</v>
      </c>
      <c r="E18" s="28">
        <v>43129</v>
      </c>
      <c r="F18" s="29">
        <v>180</v>
      </c>
      <c r="G18" s="22">
        <f t="shared" si="4"/>
        <v>43309</v>
      </c>
      <c r="H18" s="18"/>
      <c r="I18" s="7">
        <f t="shared" ca="1" si="5"/>
        <v>-116</v>
      </c>
      <c r="J18" s="29" t="s">
        <v>14</v>
      </c>
      <c r="L18" s="137"/>
      <c r="M18" s="137"/>
      <c r="N18" s="137"/>
    </row>
    <row r="19" spans="1:14" x14ac:dyDescent="0.25">
      <c r="A19" s="23">
        <v>2</v>
      </c>
      <c r="B19" s="30">
        <v>43146</v>
      </c>
      <c r="C19" s="31" t="s">
        <v>36</v>
      </c>
      <c r="D19" s="32">
        <v>16</v>
      </c>
      <c r="E19" s="33">
        <v>43129</v>
      </c>
      <c r="F19" s="32">
        <v>180</v>
      </c>
      <c r="G19" s="22">
        <f t="shared" si="4"/>
        <v>43309</v>
      </c>
      <c r="H19" s="18"/>
      <c r="I19" s="7">
        <f t="shared" ca="1" si="5"/>
        <v>-116</v>
      </c>
      <c r="J19" s="29" t="s">
        <v>15</v>
      </c>
      <c r="L19" s="137"/>
      <c r="M19" s="137"/>
      <c r="N19" s="137"/>
    </row>
    <row r="20" spans="1:14" x14ac:dyDescent="0.25">
      <c r="A20" s="23">
        <v>1</v>
      </c>
      <c r="B20" s="30">
        <v>43146</v>
      </c>
      <c r="C20" s="31" t="s">
        <v>43</v>
      </c>
      <c r="D20" s="32">
        <v>925</v>
      </c>
      <c r="E20" s="33">
        <v>43132</v>
      </c>
      <c r="F20" s="32">
        <v>180</v>
      </c>
      <c r="G20" s="22">
        <f t="shared" si="4"/>
        <v>43312</v>
      </c>
      <c r="H20" s="18"/>
      <c r="I20" s="7">
        <f t="shared" ca="1" si="5"/>
        <v>-113</v>
      </c>
      <c r="J20" s="29" t="s">
        <v>14</v>
      </c>
      <c r="L20" s="137"/>
      <c r="M20" s="137"/>
      <c r="N20" s="137"/>
    </row>
    <row r="21" spans="1:14" x14ac:dyDescent="0.25">
      <c r="A21" s="23">
        <v>2</v>
      </c>
      <c r="B21" s="30">
        <v>43136</v>
      </c>
      <c r="C21" s="31" t="s">
        <v>44</v>
      </c>
      <c r="D21" s="32">
        <v>4</v>
      </c>
      <c r="E21" s="33">
        <v>43133</v>
      </c>
      <c r="F21" s="32">
        <v>180</v>
      </c>
      <c r="G21" s="22">
        <f t="shared" si="4"/>
        <v>43313</v>
      </c>
      <c r="H21" s="18"/>
      <c r="I21" s="7">
        <f t="shared" ca="1" si="5"/>
        <v>-112</v>
      </c>
      <c r="J21" s="29" t="s">
        <v>15</v>
      </c>
      <c r="L21" s="137"/>
      <c r="M21" s="137"/>
      <c r="N21" s="137"/>
    </row>
    <row r="22" spans="1:14" x14ac:dyDescent="0.25">
      <c r="A22" s="23">
        <v>1</v>
      </c>
      <c r="B22" s="34">
        <v>43137</v>
      </c>
      <c r="C22" s="31" t="s">
        <v>27</v>
      </c>
      <c r="D22" s="32">
        <v>1259</v>
      </c>
      <c r="E22" s="33">
        <v>43136</v>
      </c>
      <c r="F22" s="32">
        <v>180</v>
      </c>
      <c r="G22" s="22">
        <f t="shared" ref="G22:G30" si="6">E22+F22</f>
        <v>43316</v>
      </c>
      <c r="H22" s="18"/>
      <c r="I22" s="7">
        <f t="shared" ref="I22:I30" ca="1" si="7">IF(H22="",IF(G22="","",G22-TODAY()),IF(G22-H22&gt;0,CONCATENATE("CONCLUÍDO COM ",G22-H22,"DIAS DE ANTECEDÊNCIA"),IF(G22-H22&lt;0,CONCATENATE("CONCLUÍDO COM ",H22-G22," DIAS DE ATRASO"),"CONCLUÍDO NO PRAZO")))</f>
        <v>-109</v>
      </c>
      <c r="J22" s="29" t="s">
        <v>15</v>
      </c>
      <c r="K22" s="19"/>
      <c r="L22" s="137"/>
      <c r="M22" s="137"/>
      <c r="N22" s="137"/>
    </row>
    <row r="23" spans="1:14" x14ac:dyDescent="0.25">
      <c r="A23" s="23">
        <v>1</v>
      </c>
      <c r="B23" s="34">
        <v>43158</v>
      </c>
      <c r="C23" s="31" t="s">
        <v>29</v>
      </c>
      <c r="D23" s="59">
        <v>16</v>
      </c>
      <c r="E23" s="58">
        <v>43146</v>
      </c>
      <c r="F23" s="59">
        <v>180</v>
      </c>
      <c r="G23" s="22">
        <f t="shared" si="6"/>
        <v>43326</v>
      </c>
      <c r="H23" s="18"/>
      <c r="I23" s="7">
        <f t="shared" ca="1" si="7"/>
        <v>-99</v>
      </c>
      <c r="J23" s="29" t="s">
        <v>14</v>
      </c>
      <c r="L23" s="137"/>
      <c r="M23" s="137"/>
      <c r="N23" s="137"/>
    </row>
    <row r="24" spans="1:14" x14ac:dyDescent="0.25">
      <c r="A24" s="23">
        <v>1</v>
      </c>
      <c r="B24" s="36">
        <v>43153</v>
      </c>
      <c r="C24" s="37" t="s">
        <v>31</v>
      </c>
      <c r="D24" s="48">
        <v>261</v>
      </c>
      <c r="E24" s="47">
        <v>43152</v>
      </c>
      <c r="F24" s="48">
        <v>180</v>
      </c>
      <c r="G24" s="38">
        <f t="shared" si="6"/>
        <v>43332</v>
      </c>
      <c r="H24" s="39"/>
      <c r="I24" s="40">
        <f t="shared" ca="1" si="7"/>
        <v>-93</v>
      </c>
      <c r="J24" s="41" t="s">
        <v>15</v>
      </c>
      <c r="L24" s="137"/>
      <c r="M24" s="137"/>
      <c r="N24" s="137"/>
    </row>
    <row r="25" spans="1:14" x14ac:dyDescent="0.25">
      <c r="A25" s="125">
        <v>1</v>
      </c>
      <c r="B25" s="42">
        <v>43167</v>
      </c>
      <c r="C25" s="43" t="s">
        <v>28</v>
      </c>
      <c r="D25" s="45">
        <v>77</v>
      </c>
      <c r="E25" s="46">
        <v>43157</v>
      </c>
      <c r="F25" s="45">
        <v>180</v>
      </c>
      <c r="G25" s="22">
        <f t="shared" si="6"/>
        <v>43337</v>
      </c>
      <c r="H25" s="18"/>
      <c r="I25" s="7">
        <f t="shared" ca="1" si="7"/>
        <v>-88</v>
      </c>
      <c r="J25" s="44" t="s">
        <v>14</v>
      </c>
      <c r="L25" s="137"/>
      <c r="M25" s="137"/>
      <c r="N25" s="137"/>
    </row>
    <row r="26" spans="1:14" x14ac:dyDescent="0.25">
      <c r="A26" s="23">
        <v>2</v>
      </c>
      <c r="B26" s="42">
        <v>43171</v>
      </c>
      <c r="C26" s="43" t="s">
        <v>18</v>
      </c>
      <c r="D26" s="45">
        <v>8</v>
      </c>
      <c r="E26" s="46">
        <v>43157</v>
      </c>
      <c r="F26" s="45">
        <v>180</v>
      </c>
      <c r="G26" s="22">
        <f t="shared" si="6"/>
        <v>43337</v>
      </c>
      <c r="H26" s="18"/>
      <c r="I26" s="7">
        <f t="shared" ca="1" si="7"/>
        <v>-88</v>
      </c>
      <c r="J26" s="44" t="s">
        <v>15</v>
      </c>
      <c r="L26" s="137"/>
      <c r="M26" s="137"/>
      <c r="N26" s="137"/>
    </row>
    <row r="27" spans="1:14" x14ac:dyDescent="0.25">
      <c r="A27" s="23">
        <v>1</v>
      </c>
      <c r="B27" s="42">
        <v>43172</v>
      </c>
      <c r="C27" s="43" t="s">
        <v>39</v>
      </c>
      <c r="D27" s="45">
        <v>104</v>
      </c>
      <c r="E27" s="46">
        <v>43164</v>
      </c>
      <c r="F27" s="45">
        <v>180</v>
      </c>
      <c r="G27" s="22">
        <f t="shared" si="6"/>
        <v>43344</v>
      </c>
      <c r="H27" s="18"/>
      <c r="I27" s="40">
        <f t="shared" ca="1" si="7"/>
        <v>-81</v>
      </c>
      <c r="J27" s="44" t="s">
        <v>14</v>
      </c>
      <c r="K27" s="19"/>
      <c r="L27" s="126" t="s">
        <v>136</v>
      </c>
      <c r="M27" s="126" t="s">
        <v>135</v>
      </c>
      <c r="N27" s="126"/>
    </row>
    <row r="28" spans="1:14" x14ac:dyDescent="0.25">
      <c r="A28" s="23">
        <v>2</v>
      </c>
      <c r="B28" s="42">
        <v>43172</v>
      </c>
      <c r="C28" s="43" t="s">
        <v>46</v>
      </c>
      <c r="D28" s="45">
        <v>13</v>
      </c>
      <c r="E28" s="46">
        <v>43164</v>
      </c>
      <c r="F28" s="45">
        <v>180</v>
      </c>
      <c r="G28" s="22">
        <f t="shared" si="6"/>
        <v>43344</v>
      </c>
      <c r="H28" s="18"/>
      <c r="I28" s="40">
        <f t="shared" ca="1" si="7"/>
        <v>-81</v>
      </c>
      <c r="J28" s="44" t="s">
        <v>15</v>
      </c>
      <c r="K28" s="19"/>
      <c r="L28" s="126" t="s">
        <v>136</v>
      </c>
      <c r="M28" s="126" t="s">
        <v>135</v>
      </c>
      <c r="N28" s="126" t="s">
        <v>136</v>
      </c>
    </row>
    <row r="29" spans="1:14" x14ac:dyDescent="0.25">
      <c r="A29" s="23">
        <v>3</v>
      </c>
      <c r="B29" s="42">
        <v>43180</v>
      </c>
      <c r="C29" s="43" t="s">
        <v>47</v>
      </c>
      <c r="D29" s="146">
        <v>63</v>
      </c>
      <c r="E29" s="147">
        <v>43164</v>
      </c>
      <c r="F29" s="148">
        <v>180</v>
      </c>
      <c r="G29" s="22">
        <f t="shared" si="6"/>
        <v>43344</v>
      </c>
      <c r="H29" s="18"/>
      <c r="I29" s="7">
        <f t="shared" ca="1" si="7"/>
        <v>-81</v>
      </c>
      <c r="J29" s="44" t="s">
        <v>14</v>
      </c>
      <c r="K29" s="19"/>
      <c r="L29" s="126" t="s">
        <v>136</v>
      </c>
      <c r="M29" s="126" t="s">
        <v>135</v>
      </c>
      <c r="N29" s="126"/>
    </row>
    <row r="30" spans="1:14" x14ac:dyDescent="0.25">
      <c r="A30" s="162">
        <v>7</v>
      </c>
      <c r="B30" s="72">
        <v>43174</v>
      </c>
      <c r="C30" s="163" t="s">
        <v>33</v>
      </c>
      <c r="D30" s="164">
        <v>2757</v>
      </c>
      <c r="E30" s="165">
        <v>43166</v>
      </c>
      <c r="F30" s="164">
        <v>180</v>
      </c>
      <c r="G30" s="38">
        <f t="shared" si="6"/>
        <v>43346</v>
      </c>
      <c r="H30" s="39"/>
      <c r="I30" s="40">
        <f t="shared" ca="1" si="7"/>
        <v>-79</v>
      </c>
      <c r="J30" s="75" t="s">
        <v>14</v>
      </c>
      <c r="L30" s="73"/>
      <c r="M30" s="73"/>
      <c r="N30" s="73"/>
    </row>
    <row r="31" spans="1:14" x14ac:dyDescent="0.25">
      <c r="A31" s="23">
        <v>1</v>
      </c>
      <c r="B31" s="42">
        <v>43185</v>
      </c>
      <c r="C31" s="43" t="s">
        <v>30</v>
      </c>
      <c r="D31" s="166">
        <v>8</v>
      </c>
      <c r="E31" s="167">
        <v>43179</v>
      </c>
      <c r="F31" s="168">
        <v>180</v>
      </c>
      <c r="G31" s="22">
        <f t="shared" ref="G31:G37" si="8">E31+F31</f>
        <v>43359</v>
      </c>
      <c r="H31" s="18"/>
      <c r="I31" s="7">
        <f t="shared" ref="I31:I37" ca="1" si="9">IF(H31="",IF(G31="","",G31-TODAY()),IF(G31-H31&gt;0,CONCATENATE("CONCLUÍDO COM ",G31-H31,"DIAS DE ANTECEDÊNCIA"),IF(G31-H31&lt;0,CONCATENATE("CONCLUÍDO COM ",H31-G31," DIAS DE ATRASO"),"CONCLUÍDO NO PRAZO")))</f>
        <v>-66</v>
      </c>
      <c r="J31" s="61" t="s">
        <v>15</v>
      </c>
      <c r="K31" s="169"/>
      <c r="L31" s="126" t="s">
        <v>136</v>
      </c>
      <c r="M31" s="126" t="s">
        <v>135</v>
      </c>
      <c r="N31" s="126"/>
    </row>
    <row r="32" spans="1:14" x14ac:dyDescent="0.25">
      <c r="A32" s="23">
        <v>1</v>
      </c>
      <c r="B32" s="42">
        <v>43202</v>
      </c>
      <c r="C32" s="43" t="s">
        <v>52</v>
      </c>
      <c r="D32" s="55">
        <v>24</v>
      </c>
      <c r="E32" s="56">
        <v>43181</v>
      </c>
      <c r="F32" s="57">
        <v>180</v>
      </c>
      <c r="G32" s="22">
        <f t="shared" si="8"/>
        <v>43361</v>
      </c>
      <c r="H32" s="18"/>
      <c r="I32" s="40">
        <f t="shared" ca="1" si="9"/>
        <v>-64</v>
      </c>
      <c r="J32" s="44" t="s">
        <v>14</v>
      </c>
      <c r="K32" s="19"/>
      <c r="L32" s="126" t="s">
        <v>136</v>
      </c>
      <c r="M32" s="126" t="s">
        <v>135</v>
      </c>
      <c r="N32" s="126"/>
    </row>
    <row r="33" spans="1:14" x14ac:dyDescent="0.25">
      <c r="A33" s="23">
        <v>1</v>
      </c>
      <c r="B33" s="42">
        <v>43201</v>
      </c>
      <c r="C33" s="43" t="s">
        <v>51</v>
      </c>
      <c r="D33" s="49">
        <v>1080</v>
      </c>
      <c r="E33" s="50">
        <v>43182</v>
      </c>
      <c r="F33" s="51">
        <v>180</v>
      </c>
      <c r="G33" s="22">
        <f t="shared" si="8"/>
        <v>43362</v>
      </c>
      <c r="H33" s="18"/>
      <c r="I33" s="40">
        <f t="shared" ca="1" si="9"/>
        <v>-63</v>
      </c>
      <c r="J33" s="44" t="s">
        <v>15</v>
      </c>
      <c r="K33" s="19"/>
      <c r="L33" s="126" t="s">
        <v>136</v>
      </c>
      <c r="M33" s="126" t="s">
        <v>135</v>
      </c>
      <c r="N33" s="126"/>
    </row>
    <row r="34" spans="1:14" x14ac:dyDescent="0.25">
      <c r="A34" s="23">
        <v>1</v>
      </c>
      <c r="B34" s="42">
        <v>43202</v>
      </c>
      <c r="C34" s="43" t="s">
        <v>53</v>
      </c>
      <c r="D34" s="49">
        <v>103</v>
      </c>
      <c r="E34" s="50">
        <v>43186</v>
      </c>
      <c r="F34" s="51">
        <v>180</v>
      </c>
      <c r="G34" s="22">
        <f t="shared" si="8"/>
        <v>43366</v>
      </c>
      <c r="H34" s="18"/>
      <c r="I34" s="40">
        <f t="shared" ca="1" si="9"/>
        <v>-59</v>
      </c>
      <c r="J34" s="44" t="s">
        <v>15</v>
      </c>
      <c r="K34" s="19"/>
      <c r="L34" s="126" t="s">
        <v>136</v>
      </c>
      <c r="M34" s="126" t="s">
        <v>135</v>
      </c>
      <c r="N34" s="126"/>
    </row>
    <row r="35" spans="1:14" x14ac:dyDescent="0.25">
      <c r="A35" s="23">
        <v>1</v>
      </c>
      <c r="B35" s="42">
        <v>43199</v>
      </c>
      <c r="C35" s="43" t="s">
        <v>48</v>
      </c>
      <c r="D35" s="49">
        <v>11</v>
      </c>
      <c r="E35" s="50">
        <v>43187</v>
      </c>
      <c r="F35" s="51">
        <v>180</v>
      </c>
      <c r="G35" s="22">
        <f t="shared" si="8"/>
        <v>43367</v>
      </c>
      <c r="H35" s="18"/>
      <c r="I35" s="40">
        <f t="shared" ca="1" si="9"/>
        <v>-58</v>
      </c>
      <c r="J35" s="44" t="s">
        <v>15</v>
      </c>
      <c r="K35" s="19"/>
      <c r="L35" s="126" t="s">
        <v>136</v>
      </c>
      <c r="M35" s="126" t="s">
        <v>135</v>
      </c>
      <c r="N35" s="126"/>
    </row>
    <row r="36" spans="1:14" x14ac:dyDescent="0.25">
      <c r="A36" s="23">
        <v>1</v>
      </c>
      <c r="B36" s="42">
        <v>43157</v>
      </c>
      <c r="C36" s="43" t="s">
        <v>32</v>
      </c>
      <c r="D36" s="66">
        <v>11</v>
      </c>
      <c r="E36" s="68">
        <v>43193</v>
      </c>
      <c r="F36" s="66">
        <v>180</v>
      </c>
      <c r="G36" s="60">
        <f t="shared" si="8"/>
        <v>43373</v>
      </c>
      <c r="H36" s="18"/>
      <c r="I36" s="40">
        <f t="shared" ca="1" si="9"/>
        <v>-52</v>
      </c>
      <c r="J36" s="44" t="s">
        <v>15</v>
      </c>
      <c r="K36" s="19"/>
      <c r="L36" s="126" t="s">
        <v>136</v>
      </c>
      <c r="M36" s="126" t="s">
        <v>135</v>
      </c>
      <c r="N36" s="126"/>
    </row>
    <row r="37" spans="1:14" x14ac:dyDescent="0.25">
      <c r="A37" s="23">
        <v>2</v>
      </c>
      <c r="B37" s="42">
        <v>43206</v>
      </c>
      <c r="C37" s="43" t="s">
        <v>55</v>
      </c>
      <c r="D37" s="49">
        <v>26</v>
      </c>
      <c r="E37" s="50">
        <v>43193</v>
      </c>
      <c r="F37" s="51">
        <v>180</v>
      </c>
      <c r="G37" s="22">
        <f t="shared" si="8"/>
        <v>43373</v>
      </c>
      <c r="H37" s="18"/>
      <c r="I37" s="40">
        <f t="shared" ca="1" si="9"/>
        <v>-52</v>
      </c>
      <c r="J37" s="44" t="s">
        <v>15</v>
      </c>
      <c r="K37" s="19"/>
      <c r="L37" s="126" t="s">
        <v>137</v>
      </c>
      <c r="M37" s="126" t="s">
        <v>135</v>
      </c>
      <c r="N37" s="126" t="s">
        <v>136</v>
      </c>
    </row>
    <row r="38" spans="1:14" x14ac:dyDescent="0.25">
      <c r="A38" s="23">
        <v>1</v>
      </c>
      <c r="B38" s="42">
        <v>43208</v>
      </c>
      <c r="C38" s="43" t="s">
        <v>56</v>
      </c>
      <c r="D38" s="52">
        <v>11</v>
      </c>
      <c r="E38" s="53">
        <v>43194</v>
      </c>
      <c r="F38" s="54">
        <v>180</v>
      </c>
      <c r="G38" s="22">
        <f t="shared" ref="G38:G43" si="10">E38+F38</f>
        <v>43374</v>
      </c>
      <c r="H38" s="18"/>
      <c r="I38" s="40">
        <f t="shared" ref="I38:I43" ca="1" si="11">IF(H38="",IF(G38="","",G38-TODAY()),IF(G38-H38&gt;0,CONCATENATE("CONCLUÍDO COM ",G38-H38,"DIAS DE ANTECEDÊNCIA"),IF(G38-H38&lt;0,CONCATENATE("CONCLUÍDO COM ",H38-G38," DIAS DE ATRASO"),"CONCLUÍDO NO PRAZO")))</f>
        <v>-51</v>
      </c>
      <c r="J38" s="44" t="s">
        <v>15</v>
      </c>
      <c r="K38" s="19"/>
      <c r="L38" s="126" t="s">
        <v>136</v>
      </c>
      <c r="M38" s="126" t="s">
        <v>135</v>
      </c>
      <c r="N38" s="126"/>
    </row>
    <row r="39" spans="1:14" x14ac:dyDescent="0.25">
      <c r="A39" s="23">
        <v>2</v>
      </c>
      <c r="B39" s="42">
        <v>43203</v>
      </c>
      <c r="C39" s="43" t="s">
        <v>54</v>
      </c>
      <c r="D39" s="55">
        <v>5</v>
      </c>
      <c r="E39" s="56">
        <v>43196</v>
      </c>
      <c r="F39" s="57">
        <v>180</v>
      </c>
      <c r="G39" s="22">
        <f t="shared" si="10"/>
        <v>43376</v>
      </c>
      <c r="H39" s="18"/>
      <c r="I39" s="40">
        <f t="shared" ca="1" si="11"/>
        <v>-49</v>
      </c>
      <c r="J39" s="44" t="s">
        <v>14</v>
      </c>
      <c r="K39" s="19"/>
      <c r="L39" s="126" t="s">
        <v>136</v>
      </c>
      <c r="M39" s="126" t="s">
        <v>135</v>
      </c>
      <c r="N39" s="126"/>
    </row>
    <row r="40" spans="1:14" x14ac:dyDescent="0.25">
      <c r="A40" s="23">
        <v>1</v>
      </c>
      <c r="B40" s="42">
        <v>43201</v>
      </c>
      <c r="C40" s="43" t="s">
        <v>49</v>
      </c>
      <c r="D40" s="55">
        <v>156</v>
      </c>
      <c r="E40" s="56">
        <v>43199</v>
      </c>
      <c r="F40" s="57">
        <v>180</v>
      </c>
      <c r="G40" s="22">
        <f t="shared" si="10"/>
        <v>43379</v>
      </c>
      <c r="H40" s="18"/>
      <c r="I40" s="40">
        <f t="shared" ca="1" si="11"/>
        <v>-46</v>
      </c>
      <c r="J40" s="44" t="s">
        <v>15</v>
      </c>
      <c r="K40" s="19"/>
      <c r="L40" s="126" t="s">
        <v>136</v>
      </c>
      <c r="M40" s="126" t="s">
        <v>135</v>
      </c>
      <c r="N40" s="126"/>
    </row>
    <row r="41" spans="1:14" x14ac:dyDescent="0.25">
      <c r="A41" s="23">
        <v>2</v>
      </c>
      <c r="B41" s="42">
        <v>43201</v>
      </c>
      <c r="C41" s="43" t="s">
        <v>50</v>
      </c>
      <c r="D41" s="55">
        <v>102</v>
      </c>
      <c r="E41" s="56">
        <v>43199</v>
      </c>
      <c r="F41" s="57">
        <v>180</v>
      </c>
      <c r="G41" s="22">
        <f t="shared" si="10"/>
        <v>43379</v>
      </c>
      <c r="H41" s="18"/>
      <c r="I41" s="40">
        <f t="shared" ca="1" si="11"/>
        <v>-46</v>
      </c>
      <c r="J41" s="44" t="s">
        <v>15</v>
      </c>
      <c r="K41" s="19"/>
      <c r="L41" s="126" t="s">
        <v>136</v>
      </c>
      <c r="M41" s="126" t="s">
        <v>135</v>
      </c>
      <c r="N41" s="126"/>
    </row>
    <row r="42" spans="1:14" x14ac:dyDescent="0.25">
      <c r="A42" s="23">
        <v>1</v>
      </c>
      <c r="B42" s="42">
        <v>43224</v>
      </c>
      <c r="C42" s="43" t="s">
        <v>59</v>
      </c>
      <c r="D42" s="55">
        <v>17</v>
      </c>
      <c r="E42" s="56">
        <v>43206</v>
      </c>
      <c r="F42" s="57">
        <v>180</v>
      </c>
      <c r="G42" s="22">
        <f t="shared" si="10"/>
        <v>43386</v>
      </c>
      <c r="H42" s="18"/>
      <c r="I42" s="40">
        <f t="shared" ca="1" si="11"/>
        <v>-39</v>
      </c>
      <c r="J42" s="44" t="s">
        <v>15</v>
      </c>
      <c r="K42" s="19"/>
      <c r="L42" s="126" t="s">
        <v>136</v>
      </c>
      <c r="M42" s="126" t="s">
        <v>135</v>
      </c>
      <c r="N42" s="126"/>
    </row>
    <row r="43" spans="1:14" x14ac:dyDescent="0.25">
      <c r="A43" s="23">
        <v>1</v>
      </c>
      <c r="B43" s="42">
        <v>43230</v>
      </c>
      <c r="C43" s="43" t="s">
        <v>65</v>
      </c>
      <c r="D43" s="55">
        <v>19</v>
      </c>
      <c r="E43" s="56">
        <v>43210</v>
      </c>
      <c r="F43" s="57">
        <v>180</v>
      </c>
      <c r="G43" s="22">
        <f t="shared" si="10"/>
        <v>43390</v>
      </c>
      <c r="H43" s="18"/>
      <c r="I43" s="40">
        <f t="shared" ca="1" si="11"/>
        <v>-35</v>
      </c>
      <c r="J43" s="44" t="s">
        <v>15</v>
      </c>
      <c r="K43" s="19"/>
      <c r="L43" s="126" t="s">
        <v>136</v>
      </c>
      <c r="M43" s="126" t="s">
        <v>135</v>
      </c>
      <c r="N43" s="126" t="s">
        <v>142</v>
      </c>
    </row>
    <row r="44" spans="1:14" x14ac:dyDescent="0.25">
      <c r="A44" s="23">
        <v>1</v>
      </c>
      <c r="B44" s="42">
        <v>43222</v>
      </c>
      <c r="C44" s="43" t="s">
        <v>58</v>
      </c>
      <c r="D44" s="55">
        <v>819</v>
      </c>
      <c r="E44" s="56">
        <v>43213</v>
      </c>
      <c r="F44" s="57">
        <v>180</v>
      </c>
      <c r="G44" s="22">
        <f t="shared" ref="G44:G49" si="12">E44+F44</f>
        <v>43393</v>
      </c>
      <c r="H44" s="18"/>
      <c r="I44" s="40">
        <f t="shared" ref="I44:I49" ca="1" si="13">IF(H44="",IF(G44="","",G44-TODAY()),IF(G44-H44&gt;0,CONCATENATE("CONCLUÍDO COM ",G44-H44,"DIAS DE ANTECEDÊNCIA"),IF(G44-H44&lt;0,CONCATENATE("CONCLUÍDO COM ",H44-G44," DIAS DE ATRASO"),"CONCLUÍDO NO PRAZO")))</f>
        <v>-32</v>
      </c>
      <c r="J44" s="44" t="s">
        <v>15</v>
      </c>
      <c r="K44" s="19"/>
      <c r="L44" s="126" t="s">
        <v>136</v>
      </c>
      <c r="M44" s="126" t="s">
        <v>135</v>
      </c>
      <c r="N44" s="126"/>
    </row>
    <row r="45" spans="1:14" x14ac:dyDescent="0.25">
      <c r="A45" s="23">
        <v>1</v>
      </c>
      <c r="B45" s="42">
        <v>43214</v>
      </c>
      <c r="C45" s="43" t="s">
        <v>57</v>
      </c>
      <c r="D45" s="55">
        <v>1128</v>
      </c>
      <c r="E45" s="56">
        <v>43215</v>
      </c>
      <c r="F45" s="57">
        <v>180</v>
      </c>
      <c r="G45" s="22">
        <f t="shared" si="12"/>
        <v>43395</v>
      </c>
      <c r="H45" s="18"/>
      <c r="I45" s="40">
        <f t="shared" ca="1" si="13"/>
        <v>-30</v>
      </c>
      <c r="J45" s="44" t="s">
        <v>15</v>
      </c>
      <c r="K45" s="19"/>
      <c r="L45" s="126" t="s">
        <v>136</v>
      </c>
      <c r="M45" s="126" t="s">
        <v>135</v>
      </c>
      <c r="N45" s="126" t="s">
        <v>136</v>
      </c>
    </row>
    <row r="46" spans="1:14" x14ac:dyDescent="0.25">
      <c r="A46" s="23">
        <v>2</v>
      </c>
      <c r="B46" s="42">
        <v>43224</v>
      </c>
      <c r="C46" s="43" t="s">
        <v>60</v>
      </c>
      <c r="D46" s="55">
        <v>14</v>
      </c>
      <c r="E46" s="56">
        <v>43215</v>
      </c>
      <c r="F46" s="57">
        <v>180</v>
      </c>
      <c r="G46" s="22">
        <f t="shared" si="12"/>
        <v>43395</v>
      </c>
      <c r="H46" s="18"/>
      <c r="I46" s="40">
        <f t="shared" ca="1" si="13"/>
        <v>-30</v>
      </c>
      <c r="J46" s="44" t="s">
        <v>15</v>
      </c>
      <c r="K46" s="19"/>
      <c r="L46" s="126" t="s">
        <v>136</v>
      </c>
      <c r="M46" s="126" t="s">
        <v>135</v>
      </c>
      <c r="N46" s="126"/>
    </row>
    <row r="47" spans="1:14" x14ac:dyDescent="0.25">
      <c r="A47" s="23">
        <v>1</v>
      </c>
      <c r="B47" s="42">
        <v>43224</v>
      </c>
      <c r="C47" s="43" t="s">
        <v>61</v>
      </c>
      <c r="D47" s="55">
        <v>17</v>
      </c>
      <c r="E47" s="56">
        <v>43222</v>
      </c>
      <c r="F47" s="57">
        <v>180</v>
      </c>
      <c r="G47" s="22">
        <f t="shared" si="12"/>
        <v>43402</v>
      </c>
      <c r="H47" s="18"/>
      <c r="I47" s="7">
        <f t="shared" ca="1" si="13"/>
        <v>-23</v>
      </c>
      <c r="J47" s="44" t="s">
        <v>15</v>
      </c>
      <c r="K47" s="19"/>
      <c r="L47" s="126" t="s">
        <v>136</v>
      </c>
      <c r="M47" s="126" t="s">
        <v>135</v>
      </c>
      <c r="N47" s="126"/>
    </row>
    <row r="48" spans="1:14" x14ac:dyDescent="0.25">
      <c r="A48" s="23">
        <v>2</v>
      </c>
      <c r="B48" s="42">
        <v>43229</v>
      </c>
      <c r="C48" s="43" t="s">
        <v>64</v>
      </c>
      <c r="D48" s="55">
        <v>39</v>
      </c>
      <c r="E48" s="56">
        <v>43222</v>
      </c>
      <c r="F48" s="57">
        <v>180</v>
      </c>
      <c r="G48" s="22">
        <f t="shared" si="12"/>
        <v>43402</v>
      </c>
      <c r="H48" s="18"/>
      <c r="I48" s="40">
        <f t="shared" ca="1" si="13"/>
        <v>-23</v>
      </c>
      <c r="J48" s="44" t="s">
        <v>15</v>
      </c>
      <c r="K48" s="19"/>
      <c r="L48" s="126" t="s">
        <v>136</v>
      </c>
      <c r="M48" s="126" t="s">
        <v>135</v>
      </c>
      <c r="N48" s="126" t="s">
        <v>169</v>
      </c>
    </row>
    <row r="49" spans="1:14" x14ac:dyDescent="0.25">
      <c r="A49" s="23">
        <v>1</v>
      </c>
      <c r="B49" s="42">
        <v>43227</v>
      </c>
      <c r="C49" s="43" t="s">
        <v>62</v>
      </c>
      <c r="D49" s="55">
        <v>9</v>
      </c>
      <c r="E49" s="56">
        <v>43223</v>
      </c>
      <c r="F49" s="57">
        <v>180</v>
      </c>
      <c r="G49" s="22">
        <f t="shared" si="12"/>
        <v>43403</v>
      </c>
      <c r="H49" s="18"/>
      <c r="I49" s="7">
        <f t="shared" ca="1" si="13"/>
        <v>-22</v>
      </c>
      <c r="J49" s="44" t="s">
        <v>15</v>
      </c>
      <c r="K49" s="19"/>
      <c r="L49" s="126" t="s">
        <v>138</v>
      </c>
      <c r="M49" s="126" t="s">
        <v>135</v>
      </c>
      <c r="N49" s="126"/>
    </row>
    <row r="50" spans="1:14" x14ac:dyDescent="0.25">
      <c r="A50" s="23">
        <v>1</v>
      </c>
      <c r="B50" s="42">
        <v>43241</v>
      </c>
      <c r="C50" s="43" t="s">
        <v>66</v>
      </c>
      <c r="D50" s="55">
        <v>26</v>
      </c>
      <c r="E50" s="56">
        <v>43229</v>
      </c>
      <c r="F50" s="57">
        <v>180</v>
      </c>
      <c r="G50" s="22">
        <f>E50+F50</f>
        <v>43409</v>
      </c>
      <c r="H50" s="18"/>
      <c r="I50" s="7">
        <f ca="1">IF(H50="",IF(G50="","",G50-TODAY()),IF(G50-H50&gt;0,CONCATENATE("CONCLUÍDO COM ",G50-H50,"DIAS DE ANTECEDÊNCIA"),IF(G50-H50&lt;0,CONCATENATE("CONCLUÍDO COM ",H50-G50," DIAS DE ATRASO"),"CONCLUÍDO NO PRAZO")))</f>
        <v>-16</v>
      </c>
      <c r="J50" s="44" t="s">
        <v>15</v>
      </c>
      <c r="K50" s="19"/>
      <c r="L50" s="126" t="s">
        <v>136</v>
      </c>
      <c r="M50" s="126" t="s">
        <v>135</v>
      </c>
      <c r="N50" s="126"/>
    </row>
    <row r="51" spans="1:14" x14ac:dyDescent="0.25">
      <c r="A51" s="23">
        <v>1</v>
      </c>
      <c r="B51" s="42">
        <v>43255</v>
      </c>
      <c r="C51" s="43" t="s">
        <v>67</v>
      </c>
      <c r="D51" s="55">
        <v>19</v>
      </c>
      <c r="E51" s="56">
        <v>43231</v>
      </c>
      <c r="F51" s="57">
        <v>180</v>
      </c>
      <c r="G51" s="62">
        <f>E51+F51</f>
        <v>43411</v>
      </c>
      <c r="H51" s="63"/>
      <c r="I51" s="64">
        <f ca="1">IF(H51="",IF(G51="","",G51-TODAY()),IF(G51-H51&gt;0,CONCATENATE("CONCLUÍDO COM ",G51-H51,"DIAS DE ANTECEDÊNCIA"),IF(G51-H51&lt;0,CONCATENATE("CONCLUÍDO COM ",H51-G51," DIAS DE ATRASO"),"CONCLUÍDO NO PRAZO")))</f>
        <v>-14</v>
      </c>
      <c r="J51" s="44" t="s">
        <v>15</v>
      </c>
      <c r="K51" s="19"/>
      <c r="L51" s="126" t="s">
        <v>136</v>
      </c>
      <c r="M51" s="126" t="s">
        <v>135</v>
      </c>
      <c r="N51" s="126"/>
    </row>
    <row r="52" spans="1:14" x14ac:dyDescent="0.25">
      <c r="A52" s="23">
        <v>1</v>
      </c>
      <c r="B52" s="42">
        <v>43255</v>
      </c>
      <c r="C52" s="43" t="s">
        <v>68</v>
      </c>
      <c r="D52" s="55">
        <v>23</v>
      </c>
      <c r="E52" s="56">
        <v>43244</v>
      </c>
      <c r="F52" s="57">
        <v>180</v>
      </c>
      <c r="G52" s="62">
        <f>E52+F52</f>
        <v>43424</v>
      </c>
      <c r="H52" s="63"/>
      <c r="I52" s="64">
        <f ca="1">IF(H52="",IF(G52="","",G52-TODAY()),IF(G52-H52&gt;0,CONCATENATE("CONCLUÍDO COM ",G52-H52,"DIAS DE ANTECEDÊNCIA"),IF(G52-H52&lt;0,CONCATENATE("CONCLUÍDO COM ",H52-G52," DIAS DE ATRASO"),"CONCLUÍDO NO PRAZO")))</f>
        <v>-1</v>
      </c>
      <c r="J52" s="44" t="s">
        <v>15</v>
      </c>
      <c r="K52" s="19"/>
      <c r="L52" s="126" t="s">
        <v>136</v>
      </c>
      <c r="M52" s="126" t="s">
        <v>135</v>
      </c>
      <c r="N52" s="126" t="s">
        <v>169</v>
      </c>
    </row>
    <row r="53" spans="1:14" x14ac:dyDescent="0.25">
      <c r="A53" s="23">
        <v>2</v>
      </c>
      <c r="B53" s="42">
        <v>43255</v>
      </c>
      <c r="C53" s="43" t="s">
        <v>70</v>
      </c>
      <c r="D53" s="55">
        <v>19</v>
      </c>
      <c r="E53" s="56">
        <v>43244</v>
      </c>
      <c r="F53" s="57">
        <v>180</v>
      </c>
      <c r="G53" s="62">
        <f>E53+F53</f>
        <v>43424</v>
      </c>
      <c r="H53" s="63"/>
      <c r="I53" s="64">
        <f ca="1">IF(H53="",IF(G53="","",G53-TODAY()),IF(G53-H53&gt;0,CONCATENATE("CONCLUÍDO COM ",G53-H53,"DIAS DE ANTECEDÊNCIA"),IF(G53-H53&lt;0,CONCATENATE("CONCLUÍDO COM ",H53-G53," DIAS DE ATRASO"),"CONCLUÍDO NO PRAZO")))</f>
        <v>-1</v>
      </c>
      <c r="J53" s="44" t="s">
        <v>15</v>
      </c>
      <c r="K53" s="19"/>
      <c r="L53" s="126" t="s">
        <v>136</v>
      </c>
      <c r="M53" s="126" t="s">
        <v>135</v>
      </c>
      <c r="N53" s="126"/>
    </row>
  </sheetData>
  <mergeCells count="12">
    <mergeCell ref="L3:N3"/>
    <mergeCell ref="L4:L5"/>
    <mergeCell ref="M4:M5"/>
    <mergeCell ref="N4:N5"/>
    <mergeCell ref="A1:J1"/>
    <mergeCell ref="A3:A5"/>
    <mergeCell ref="B3:B5"/>
    <mergeCell ref="C3:C5"/>
    <mergeCell ref="D3:F4"/>
    <mergeCell ref="G3:G5"/>
    <mergeCell ref="I3:I5"/>
    <mergeCell ref="J3:J5"/>
  </mergeCells>
  <conditionalFormatting sqref="I6:I7">
    <cfRule type="colorScale" priority="298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6:I7">
    <cfRule type="colorScale" priority="299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6:I7">
    <cfRule type="colorScale" priority="300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301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302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6:I7">
    <cfRule type="colorScale" priority="303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304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305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306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8:I9">
    <cfRule type="colorScale" priority="290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8:I9">
    <cfRule type="colorScale" priority="289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8:I9">
    <cfRule type="colorScale" priority="291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292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93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8:I9">
    <cfRule type="colorScale" priority="294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95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296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297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10">
    <cfRule type="colorScale" priority="281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10">
    <cfRule type="colorScale" priority="280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10">
    <cfRule type="colorScale" priority="282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283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84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10">
    <cfRule type="colorScale" priority="285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86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287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288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11">
    <cfRule type="colorScale" priority="272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11">
    <cfRule type="colorScale" priority="271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11">
    <cfRule type="colorScale" priority="273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274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75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11">
    <cfRule type="colorScale" priority="276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77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278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279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12">
    <cfRule type="colorScale" priority="263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12">
    <cfRule type="colorScale" priority="262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12">
    <cfRule type="colorScale" priority="264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265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66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12">
    <cfRule type="colorScale" priority="267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68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269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270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13:I14">
    <cfRule type="colorScale" priority="253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13:I14">
    <cfRule type="colorScale" priority="254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13:I14">
    <cfRule type="colorScale" priority="255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256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57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13:I14">
    <cfRule type="colorScale" priority="258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59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260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261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15">
    <cfRule type="colorScale" priority="244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15">
    <cfRule type="colorScale" priority="245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15">
    <cfRule type="colorScale" priority="246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247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48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15">
    <cfRule type="colorScale" priority="249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50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251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252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16">
    <cfRule type="colorScale" priority="236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16">
    <cfRule type="colorScale" priority="235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16">
    <cfRule type="colorScale" priority="237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238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39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16">
    <cfRule type="colorScale" priority="240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41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242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243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17">
    <cfRule type="colorScale" priority="227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17">
    <cfRule type="colorScale" priority="226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17">
    <cfRule type="colorScale" priority="228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229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30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17">
    <cfRule type="colorScale" priority="231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32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233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234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18:I19">
    <cfRule type="colorScale" priority="218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18:I19">
    <cfRule type="colorScale" priority="217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18:I19">
    <cfRule type="colorScale" priority="219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220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21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18:I19">
    <cfRule type="colorScale" priority="222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23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224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225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20:I21">
    <cfRule type="colorScale" priority="208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20:I21">
    <cfRule type="colorScale" priority="209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20:I21">
    <cfRule type="colorScale" priority="210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211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12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20:I21">
    <cfRule type="colorScale" priority="213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14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215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216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22">
    <cfRule type="colorScale" priority="199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22">
    <cfRule type="colorScale" priority="200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22">
    <cfRule type="colorScale" priority="201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202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03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22">
    <cfRule type="colorScale" priority="204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05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206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207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23">
    <cfRule type="colorScale" priority="191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23">
    <cfRule type="colorScale" priority="190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23">
    <cfRule type="colorScale" priority="192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93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94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23">
    <cfRule type="colorScale" priority="195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96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97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98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24">
    <cfRule type="colorScale" priority="182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24">
    <cfRule type="colorScale" priority="181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24">
    <cfRule type="colorScale" priority="183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84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85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24">
    <cfRule type="colorScale" priority="186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87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88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89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25:I26">
    <cfRule type="colorScale" priority="173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25:I26">
    <cfRule type="colorScale" priority="172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25:I26">
    <cfRule type="colorScale" priority="174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75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76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25:I26">
    <cfRule type="colorScale" priority="177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78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79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80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27:I29">
    <cfRule type="colorScale" priority="163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27:I29">
    <cfRule type="colorScale" priority="164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27:I29">
    <cfRule type="colorScale" priority="165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66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67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27:I29">
    <cfRule type="colorScale" priority="168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69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70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71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30">
    <cfRule type="colorScale" priority="155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30">
    <cfRule type="colorScale" priority="154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30">
    <cfRule type="colorScale" priority="156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57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58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30">
    <cfRule type="colorScale" priority="159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60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61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62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31">
    <cfRule type="colorScale" priority="145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31">
    <cfRule type="colorScale" priority="146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31">
    <cfRule type="colorScale" priority="147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48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49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31">
    <cfRule type="colorScale" priority="150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51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52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53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32">
    <cfRule type="colorScale" priority="137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32">
    <cfRule type="colorScale" priority="136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32">
    <cfRule type="colorScale" priority="138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39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40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32">
    <cfRule type="colorScale" priority="141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42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43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44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33">
    <cfRule type="colorScale" priority="128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33">
    <cfRule type="colorScale" priority="127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33">
    <cfRule type="colorScale" priority="129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30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31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33">
    <cfRule type="colorScale" priority="132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33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34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35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34">
    <cfRule type="colorScale" priority="119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34">
    <cfRule type="colorScale" priority="118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34">
    <cfRule type="colorScale" priority="120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21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22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34">
    <cfRule type="colorScale" priority="123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24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25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26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35">
    <cfRule type="colorScale" priority="110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35">
    <cfRule type="colorScale" priority="109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35">
    <cfRule type="colorScale" priority="111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12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13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35">
    <cfRule type="colorScale" priority="114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15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16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17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36:I37">
    <cfRule type="colorScale" priority="101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36:I37">
    <cfRule type="colorScale" priority="100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36:I37">
    <cfRule type="colorScale" priority="102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03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04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36:I37">
    <cfRule type="colorScale" priority="105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06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07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08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38:I39">
    <cfRule type="colorScale" priority="92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38:I39">
    <cfRule type="colorScale" priority="91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38:I39">
    <cfRule type="colorScale" priority="93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94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95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38:I39">
    <cfRule type="colorScale" priority="96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97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98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99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40:I41">
    <cfRule type="colorScale" priority="83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40:I41">
    <cfRule type="colorScale" priority="82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40:I41">
    <cfRule type="colorScale" priority="84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85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86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40:I41">
    <cfRule type="colorScale" priority="87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88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89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90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42">
    <cfRule type="colorScale" priority="74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42">
    <cfRule type="colorScale" priority="73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42">
    <cfRule type="colorScale" priority="75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76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77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42">
    <cfRule type="colorScale" priority="78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79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80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81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43">
    <cfRule type="colorScale" priority="65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43">
    <cfRule type="colorScale" priority="64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43">
    <cfRule type="colorScale" priority="66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67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68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43">
    <cfRule type="colorScale" priority="69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70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71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72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44">
    <cfRule type="colorScale" priority="56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44">
    <cfRule type="colorScale" priority="55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44">
    <cfRule type="colorScale" priority="57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58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59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44">
    <cfRule type="colorScale" priority="60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61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62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63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45:I46">
    <cfRule type="colorScale" priority="47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45:I46">
    <cfRule type="colorScale" priority="46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45:I46">
    <cfRule type="colorScale" priority="48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49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50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45:I46">
    <cfRule type="colorScale" priority="51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52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53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54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47:I48">
    <cfRule type="colorScale" priority="38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47:I48">
    <cfRule type="colorScale" priority="37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47:I48">
    <cfRule type="colorScale" priority="39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40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41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47:I48">
    <cfRule type="colorScale" priority="42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43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44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45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49">
    <cfRule type="colorScale" priority="29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49">
    <cfRule type="colorScale" priority="28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49">
    <cfRule type="colorScale" priority="30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31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32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49">
    <cfRule type="colorScale" priority="33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34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35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36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50">
    <cfRule type="colorScale" priority="20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50">
    <cfRule type="colorScale" priority="19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50">
    <cfRule type="colorScale" priority="21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22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3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50">
    <cfRule type="colorScale" priority="24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5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26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27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51">
    <cfRule type="colorScale" priority="11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51">
    <cfRule type="colorScale" priority="10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51">
    <cfRule type="colorScale" priority="12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3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4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51">
    <cfRule type="colorScale" priority="15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6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7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8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52:I53">
    <cfRule type="colorScale" priority="2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52:I53">
    <cfRule type="colorScale" priority="1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52:I53">
    <cfRule type="colorScale" priority="3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4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52:I53">
    <cfRule type="colorScale" priority="6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7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8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9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6"/>
  <sheetViews>
    <sheetView workbookViewId="0">
      <selection activeCell="D20" sqref="D20"/>
    </sheetView>
  </sheetViews>
  <sheetFormatPr defaultRowHeight="15" x14ac:dyDescent="0.25"/>
  <cols>
    <col min="2" max="2" width="10.42578125" bestFit="1" customWidth="1"/>
    <col min="3" max="3" width="24" bestFit="1" customWidth="1"/>
    <col min="5" max="5" width="10.42578125" bestFit="1" customWidth="1"/>
    <col min="7" max="7" width="10.42578125" bestFit="1" customWidth="1"/>
    <col min="13" max="13" width="12" bestFit="1" customWidth="1"/>
  </cols>
  <sheetData>
    <row r="3" spans="1:15" x14ac:dyDescent="0.25">
      <c r="A3" s="124">
        <v>58</v>
      </c>
      <c r="B3" s="42">
        <v>43314</v>
      </c>
      <c r="C3" s="83" t="s">
        <v>89</v>
      </c>
      <c r="D3" s="55">
        <v>3282</v>
      </c>
      <c r="E3" s="56">
        <v>43300</v>
      </c>
      <c r="F3" s="57">
        <v>180</v>
      </c>
      <c r="G3" s="91">
        <f t="shared" ref="G3" si="0">E3+F3</f>
        <v>43480</v>
      </c>
      <c r="H3" s="192"/>
      <c r="I3" s="64">
        <f t="shared" ref="I3:I8" ca="1" si="1">IF(H3="",IF(G3="","",G3-TODAY()),IF(G3-H3&gt;0,CONCATENATE("CONCLUÍDO COM ",G3-H3,"DIAS DE ANTECEDÊNCIA"),IF(G3-H3&lt;0,CONCATENATE("CONCLUÍDO COM ",H3-G3," DIAS DE ATRASO"),"CONCLUÍDO NO PRAZO")))</f>
        <v>55</v>
      </c>
      <c r="J3" s="44" t="s">
        <v>15</v>
      </c>
      <c r="K3" s="140"/>
      <c r="L3" s="141"/>
      <c r="M3" s="126" t="s">
        <v>137</v>
      </c>
      <c r="N3" s="126" t="s">
        <v>134</v>
      </c>
      <c r="O3" s="126"/>
    </row>
    <row r="4" spans="1:15" x14ac:dyDescent="0.25">
      <c r="A4" s="127" t="s">
        <v>141</v>
      </c>
      <c r="B4" s="42">
        <v>43325</v>
      </c>
      <c r="C4" s="178" t="s">
        <v>120</v>
      </c>
      <c r="D4" s="55">
        <v>16</v>
      </c>
      <c r="E4" s="56">
        <v>43312</v>
      </c>
      <c r="F4" s="57">
        <v>180</v>
      </c>
      <c r="G4" s="91">
        <f t="shared" ref="G4:G10" si="2">E4+F4</f>
        <v>43492</v>
      </c>
      <c r="H4" s="192"/>
      <c r="I4" s="64">
        <f t="shared" ca="1" si="1"/>
        <v>67</v>
      </c>
      <c r="J4" s="44" t="s">
        <v>15</v>
      </c>
      <c r="K4" s="140"/>
      <c r="L4" s="141"/>
      <c r="M4" s="179" t="s">
        <v>137</v>
      </c>
      <c r="N4" s="126"/>
      <c r="O4" s="126"/>
    </row>
    <row r="5" spans="1:15" x14ac:dyDescent="0.25">
      <c r="A5" s="127" t="s">
        <v>141</v>
      </c>
      <c r="B5" s="42">
        <v>43356</v>
      </c>
      <c r="C5" s="180" t="s">
        <v>151</v>
      </c>
      <c r="D5" s="142">
        <v>965</v>
      </c>
      <c r="E5" s="143">
        <v>43332</v>
      </c>
      <c r="F5" s="144">
        <v>180</v>
      </c>
      <c r="G5" s="145">
        <f t="shared" si="2"/>
        <v>43512</v>
      </c>
      <c r="H5" s="192"/>
      <c r="I5" s="64">
        <f t="shared" ca="1" si="1"/>
        <v>87</v>
      </c>
      <c r="J5" s="44" t="s">
        <v>14</v>
      </c>
      <c r="K5" s="140"/>
      <c r="L5" s="141"/>
      <c r="M5" s="179" t="s">
        <v>158</v>
      </c>
      <c r="N5" s="126"/>
      <c r="O5" s="126"/>
    </row>
    <row r="6" spans="1:15" x14ac:dyDescent="0.25">
      <c r="A6" s="23">
        <v>60</v>
      </c>
      <c r="B6" s="42">
        <v>43319</v>
      </c>
      <c r="C6" s="83" t="s">
        <v>119</v>
      </c>
      <c r="D6" s="55">
        <v>50</v>
      </c>
      <c r="E6" s="56">
        <v>43305</v>
      </c>
      <c r="F6" s="57">
        <v>180</v>
      </c>
      <c r="G6" s="91">
        <f t="shared" si="2"/>
        <v>43485</v>
      </c>
      <c r="H6" s="192"/>
      <c r="I6" s="64">
        <f t="shared" ca="1" si="1"/>
        <v>60</v>
      </c>
      <c r="J6" s="44" t="s">
        <v>15</v>
      </c>
      <c r="K6" s="140"/>
      <c r="L6" s="141"/>
      <c r="M6" s="126" t="s">
        <v>134</v>
      </c>
      <c r="N6" s="126" t="s">
        <v>134</v>
      </c>
      <c r="O6" s="126"/>
    </row>
    <row r="7" spans="1:15" x14ac:dyDescent="0.25">
      <c r="A7" s="23">
        <v>98</v>
      </c>
      <c r="B7" s="42">
        <v>43371</v>
      </c>
      <c r="C7" s="180" t="s">
        <v>26</v>
      </c>
      <c r="D7" s="142">
        <v>1993</v>
      </c>
      <c r="E7" s="143">
        <v>43346</v>
      </c>
      <c r="F7" s="144">
        <v>180</v>
      </c>
      <c r="G7" s="145">
        <f t="shared" si="2"/>
        <v>43526</v>
      </c>
      <c r="H7" s="192"/>
      <c r="I7" s="64">
        <f t="shared" ca="1" si="1"/>
        <v>101</v>
      </c>
      <c r="J7" s="44" t="s">
        <v>14</v>
      </c>
      <c r="K7" s="140"/>
      <c r="L7" s="141"/>
      <c r="M7" s="179" t="s">
        <v>137</v>
      </c>
      <c r="N7" s="126" t="s">
        <v>134</v>
      </c>
      <c r="O7" s="126"/>
    </row>
    <row r="8" spans="1:15" x14ac:dyDescent="0.25">
      <c r="A8" s="23">
        <v>76</v>
      </c>
      <c r="B8" s="42">
        <v>43343</v>
      </c>
      <c r="C8" s="92" t="s">
        <v>143</v>
      </c>
      <c r="D8" s="142">
        <v>63</v>
      </c>
      <c r="E8" s="143">
        <v>43342</v>
      </c>
      <c r="F8" s="144">
        <v>180</v>
      </c>
      <c r="G8" s="145">
        <f t="shared" si="2"/>
        <v>43522</v>
      </c>
      <c r="H8" s="192"/>
      <c r="I8" s="64">
        <f t="shared" ca="1" si="1"/>
        <v>97</v>
      </c>
      <c r="J8" s="44" t="s">
        <v>15</v>
      </c>
      <c r="K8" s="140"/>
      <c r="L8" s="141"/>
      <c r="M8" s="181" t="s">
        <v>137</v>
      </c>
      <c r="N8" s="126" t="s">
        <v>134</v>
      </c>
      <c r="O8" s="126"/>
    </row>
    <row r="9" spans="1:15" x14ac:dyDescent="0.25">
      <c r="A9" s="23">
        <v>95</v>
      </c>
      <c r="B9" s="42">
        <v>43377</v>
      </c>
      <c r="C9" s="92" t="s">
        <v>156</v>
      </c>
      <c r="D9" s="142">
        <v>71</v>
      </c>
      <c r="E9" s="143">
        <v>43349</v>
      </c>
      <c r="F9" s="144">
        <v>180</v>
      </c>
      <c r="G9" s="145">
        <f t="shared" si="2"/>
        <v>43529</v>
      </c>
      <c r="H9" s="192"/>
      <c r="I9" s="64">
        <f t="shared" ref="I9:I15" ca="1" si="3">IF(H9="",IF(G9="","",G9-TODAY()),IF(G9-H9&gt;0,CONCATENATE("CONCLUÍDO COM ",G9-H9,"DIAS DE ANTECEDÊNCIA"),IF(G9-H9&lt;0,CONCATENATE("CONCLUÍDO COM ",H9-G9," DIAS DE ATRASO"),"CONCLUÍDO NO PRAZO")))</f>
        <v>104</v>
      </c>
      <c r="J9" s="44" t="s">
        <v>15</v>
      </c>
      <c r="K9" s="140"/>
      <c r="L9" s="141"/>
      <c r="M9" s="181" t="s">
        <v>137</v>
      </c>
      <c r="N9" s="126" t="s">
        <v>134</v>
      </c>
      <c r="O9" s="126"/>
    </row>
    <row r="10" spans="1:15" x14ac:dyDescent="0.25">
      <c r="A10" s="23">
        <v>83</v>
      </c>
      <c r="B10" s="42">
        <v>43356</v>
      </c>
      <c r="C10" s="92" t="s">
        <v>152</v>
      </c>
      <c r="D10" s="142">
        <v>32</v>
      </c>
      <c r="E10" s="143">
        <v>43325</v>
      </c>
      <c r="F10" s="144">
        <v>180</v>
      </c>
      <c r="G10" s="145">
        <f t="shared" si="2"/>
        <v>43505</v>
      </c>
      <c r="H10" s="192"/>
      <c r="I10" s="64">
        <f t="shared" ca="1" si="3"/>
        <v>80</v>
      </c>
      <c r="J10" s="44" t="s">
        <v>15</v>
      </c>
      <c r="K10" s="140"/>
      <c r="L10" s="141"/>
      <c r="M10" s="181" t="s">
        <v>137</v>
      </c>
      <c r="N10" s="183" t="s">
        <v>140</v>
      </c>
      <c r="O10" s="126"/>
    </row>
    <row r="11" spans="1:15" x14ac:dyDescent="0.25">
      <c r="A11" s="23">
        <v>59</v>
      </c>
      <c r="B11" s="42">
        <v>43326</v>
      </c>
      <c r="C11" s="83" t="s">
        <v>108</v>
      </c>
      <c r="D11" s="55">
        <v>38</v>
      </c>
      <c r="E11" s="56">
        <v>43320</v>
      </c>
      <c r="F11" s="57">
        <v>90</v>
      </c>
      <c r="G11" s="91">
        <f t="shared" ref="G11:G16" si="4">E11+F11</f>
        <v>43410</v>
      </c>
      <c r="H11" s="192"/>
      <c r="I11" s="64">
        <f t="shared" ca="1" si="3"/>
        <v>-15</v>
      </c>
      <c r="J11" s="44" t="s">
        <v>15</v>
      </c>
      <c r="K11" s="140"/>
      <c r="L11" s="141"/>
      <c r="M11" s="181" t="s">
        <v>137</v>
      </c>
      <c r="N11" s="183" t="s">
        <v>158</v>
      </c>
      <c r="O11" s="126"/>
    </row>
    <row r="12" spans="1:15" x14ac:dyDescent="0.25">
      <c r="A12" s="23">
        <v>65</v>
      </c>
      <c r="B12" s="42">
        <v>43332</v>
      </c>
      <c r="C12" s="92" t="s">
        <v>31</v>
      </c>
      <c r="D12" s="55">
        <v>284</v>
      </c>
      <c r="E12" s="56">
        <v>43325</v>
      </c>
      <c r="F12" s="57">
        <v>180</v>
      </c>
      <c r="G12" s="91">
        <f t="shared" si="4"/>
        <v>43505</v>
      </c>
      <c r="H12" s="192"/>
      <c r="I12" s="64">
        <f t="shared" ca="1" si="3"/>
        <v>80</v>
      </c>
      <c r="J12" s="44" t="s">
        <v>15</v>
      </c>
      <c r="K12" s="140"/>
      <c r="L12" s="141"/>
      <c r="M12" s="181" t="s">
        <v>137</v>
      </c>
      <c r="N12" s="183" t="s">
        <v>140</v>
      </c>
      <c r="O12" s="126"/>
    </row>
    <row r="13" spans="1:15" x14ac:dyDescent="0.25">
      <c r="A13" s="23">
        <v>63</v>
      </c>
      <c r="B13" s="42">
        <v>43335</v>
      </c>
      <c r="C13" s="92" t="s">
        <v>127</v>
      </c>
      <c r="D13" s="55">
        <v>40</v>
      </c>
      <c r="E13" s="56">
        <v>43327</v>
      </c>
      <c r="F13" s="57">
        <v>180</v>
      </c>
      <c r="G13" s="91">
        <f t="shared" si="4"/>
        <v>43507</v>
      </c>
      <c r="H13" s="192"/>
      <c r="I13" s="64">
        <f t="shared" ca="1" si="3"/>
        <v>82</v>
      </c>
      <c r="J13" s="44" t="s">
        <v>15</v>
      </c>
      <c r="K13" s="140"/>
      <c r="L13" s="141"/>
      <c r="M13" s="181" t="s">
        <v>137</v>
      </c>
      <c r="N13" s="183" t="s">
        <v>140</v>
      </c>
      <c r="O13" s="192"/>
    </row>
    <row r="14" spans="1:15" x14ac:dyDescent="0.25">
      <c r="A14" s="23">
        <v>95</v>
      </c>
      <c r="B14" s="42">
        <v>43384</v>
      </c>
      <c r="C14" s="92" t="s">
        <v>163</v>
      </c>
      <c r="D14" s="142">
        <v>43</v>
      </c>
      <c r="E14" s="143">
        <v>43357</v>
      </c>
      <c r="F14" s="144">
        <v>180</v>
      </c>
      <c r="G14" s="145">
        <f t="shared" si="4"/>
        <v>43537</v>
      </c>
      <c r="H14" s="192"/>
      <c r="I14" s="64">
        <f t="shared" ca="1" si="3"/>
        <v>112</v>
      </c>
      <c r="J14" s="44" t="s">
        <v>15</v>
      </c>
      <c r="K14" s="140"/>
      <c r="L14" s="141"/>
      <c r="M14" s="181" t="s">
        <v>137</v>
      </c>
      <c r="N14" s="183" t="s">
        <v>140</v>
      </c>
      <c r="O14" s="126"/>
    </row>
    <row r="15" spans="1:15" x14ac:dyDescent="0.25">
      <c r="A15" s="23">
        <v>28</v>
      </c>
      <c r="B15" s="42">
        <v>43290</v>
      </c>
      <c r="C15" s="83" t="s">
        <v>97</v>
      </c>
      <c r="D15" s="55">
        <v>28</v>
      </c>
      <c r="E15" s="56">
        <v>43287</v>
      </c>
      <c r="F15" s="57">
        <v>180</v>
      </c>
      <c r="G15" s="62">
        <f t="shared" si="4"/>
        <v>43467</v>
      </c>
      <c r="H15" s="192"/>
      <c r="I15" s="64">
        <f t="shared" ca="1" si="3"/>
        <v>42</v>
      </c>
      <c r="J15" s="44" t="s">
        <v>15</v>
      </c>
      <c r="K15" s="140"/>
      <c r="L15" s="141"/>
      <c r="M15" s="181" t="s">
        <v>137</v>
      </c>
      <c r="N15" s="183" t="s">
        <v>140</v>
      </c>
      <c r="O15" s="126"/>
    </row>
    <row r="16" spans="1:15" x14ac:dyDescent="0.25">
      <c r="A16" s="23">
        <v>6</v>
      </c>
      <c r="B16" s="42">
        <v>43266</v>
      </c>
      <c r="C16" s="65" t="s">
        <v>73</v>
      </c>
      <c r="D16" s="55">
        <v>21</v>
      </c>
      <c r="E16" s="56">
        <v>43250</v>
      </c>
      <c r="F16" s="57">
        <v>180</v>
      </c>
      <c r="G16" s="62">
        <f t="shared" si="4"/>
        <v>43430</v>
      </c>
      <c r="H16" s="63"/>
      <c r="I16" s="64">
        <f ca="1">IF(H16="",IF(G16="","",G16-TODAY()),IF(G16-H16&gt;0,CONCATENATE("CONCLUÍDO COM ",G16-H16,"DIAS DE ANTECEDÊNCIA"),IF(G16-H16&lt;0,CONCATENATE("CONCLUÍDO COM ",H16-G16," DIAS DE ATRASO"),"CONCLUÍDO NO PRAZO")))</f>
        <v>5</v>
      </c>
      <c r="J16" s="44" t="s">
        <v>15</v>
      </c>
      <c r="K16" s="140"/>
      <c r="L16" s="141"/>
      <c r="M16" s="181" t="s">
        <v>137</v>
      </c>
      <c r="N16" s="183" t="s">
        <v>140</v>
      </c>
      <c r="O16" s="126"/>
    </row>
  </sheetData>
  <conditionalFormatting sqref="I3">
    <cfRule type="colorScale" priority="119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3">
    <cfRule type="colorScale" priority="118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3">
    <cfRule type="colorScale" priority="120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21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22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3">
    <cfRule type="colorScale" priority="123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24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25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26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4">
    <cfRule type="colorScale" priority="110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4">
    <cfRule type="colorScale" priority="109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4">
    <cfRule type="colorScale" priority="111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12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13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4">
    <cfRule type="colorScale" priority="114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15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16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17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5">
    <cfRule type="colorScale" priority="101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5">
    <cfRule type="colorScale" priority="100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5">
    <cfRule type="colorScale" priority="102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03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04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5">
    <cfRule type="colorScale" priority="105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06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07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08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6">
    <cfRule type="colorScale" priority="92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6">
    <cfRule type="colorScale" priority="91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6">
    <cfRule type="colorScale" priority="93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94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95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6">
    <cfRule type="colorScale" priority="96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97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98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99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7">
    <cfRule type="colorScale" priority="83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7">
    <cfRule type="colorScale" priority="82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7">
    <cfRule type="colorScale" priority="84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85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86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7">
    <cfRule type="colorScale" priority="87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88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89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90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8">
    <cfRule type="colorScale" priority="74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8">
    <cfRule type="colorScale" priority="73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8">
    <cfRule type="colorScale" priority="75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76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77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8">
    <cfRule type="colorScale" priority="78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79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80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81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9">
    <cfRule type="colorScale" priority="65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9">
    <cfRule type="colorScale" priority="64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9">
    <cfRule type="colorScale" priority="66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67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68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9">
    <cfRule type="colorScale" priority="69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70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71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72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10">
    <cfRule type="colorScale" priority="56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10">
    <cfRule type="colorScale" priority="55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10">
    <cfRule type="colorScale" priority="57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58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59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10">
    <cfRule type="colorScale" priority="60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61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62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63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11">
    <cfRule type="colorScale" priority="47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11">
    <cfRule type="colorScale" priority="46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11">
    <cfRule type="colorScale" priority="48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49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50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11">
    <cfRule type="colorScale" priority="51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52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53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54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12">
    <cfRule type="colorScale" priority="38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12">
    <cfRule type="colorScale" priority="37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12">
    <cfRule type="colorScale" priority="39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40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41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12">
    <cfRule type="colorScale" priority="42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43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44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45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13">
    <cfRule type="colorScale" priority="29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13">
    <cfRule type="colorScale" priority="28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13">
    <cfRule type="colorScale" priority="30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31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32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13">
    <cfRule type="colorScale" priority="33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34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35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36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14">
    <cfRule type="colorScale" priority="20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14">
    <cfRule type="colorScale" priority="19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14">
    <cfRule type="colorScale" priority="21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22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3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14">
    <cfRule type="colorScale" priority="24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5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26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27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15">
    <cfRule type="colorScale" priority="11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15">
    <cfRule type="colorScale" priority="10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15">
    <cfRule type="colorScale" priority="12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3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4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15">
    <cfRule type="colorScale" priority="15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6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7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8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16">
    <cfRule type="colorScale" priority="2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16">
    <cfRule type="colorScale" priority="1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16">
    <cfRule type="colorScale" priority="3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4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16">
    <cfRule type="colorScale" priority="6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7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8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9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workbookViewId="0">
      <selection activeCell="N16" sqref="N16"/>
    </sheetView>
  </sheetViews>
  <sheetFormatPr defaultRowHeight="15" x14ac:dyDescent="0.25"/>
  <cols>
    <col min="1" max="1" width="6.42578125" customWidth="1"/>
    <col min="2" max="2" width="12.28515625" customWidth="1"/>
    <col min="3" max="3" width="29.42578125" bestFit="1" customWidth="1"/>
    <col min="4" max="4" width="11" bestFit="1" customWidth="1"/>
    <col min="5" max="5" width="12" bestFit="1" customWidth="1"/>
    <col min="6" max="6" width="11.140625" customWidth="1"/>
    <col min="7" max="7" width="11.28515625" customWidth="1"/>
    <col min="8" max="8" width="4.42578125" hidden="1" customWidth="1"/>
    <col min="9" max="9" width="14.85546875" customWidth="1"/>
    <col min="11" max="11" width="16.28515625" style="17" hidden="1" customWidth="1"/>
  </cols>
  <sheetData>
    <row r="1" spans="1:11" ht="39" x14ac:dyDescent="0.25">
      <c r="A1" s="238" t="s">
        <v>45</v>
      </c>
      <c r="B1" s="238"/>
      <c r="C1" s="238"/>
      <c r="D1" s="238"/>
      <c r="E1" s="238"/>
      <c r="F1" s="238"/>
      <c r="G1" s="238"/>
      <c r="H1" s="238"/>
      <c r="I1" s="238"/>
      <c r="J1" s="238"/>
      <c r="K1" s="10"/>
    </row>
    <row r="2" spans="1:11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s="1" customFormat="1" ht="15" customHeight="1" x14ac:dyDescent="0.2">
      <c r="A3" s="221" t="s">
        <v>10</v>
      </c>
      <c r="B3" s="237" t="s">
        <v>12</v>
      </c>
      <c r="C3" s="221" t="s">
        <v>0</v>
      </c>
      <c r="D3" s="230" t="s">
        <v>1</v>
      </c>
      <c r="E3" s="231"/>
      <c r="F3" s="232"/>
      <c r="G3" s="230" t="s">
        <v>2</v>
      </c>
      <c r="H3" s="12"/>
      <c r="I3" s="226" t="s">
        <v>9</v>
      </c>
      <c r="J3" s="221" t="s">
        <v>3</v>
      </c>
      <c r="K3" s="13" t="s">
        <v>4</v>
      </c>
    </row>
    <row r="4" spans="1:11" s="1" customFormat="1" ht="12.75" x14ac:dyDescent="0.2">
      <c r="A4" s="222"/>
      <c r="B4" s="222"/>
      <c r="C4" s="222"/>
      <c r="D4" s="233"/>
      <c r="E4" s="234"/>
      <c r="F4" s="235"/>
      <c r="G4" s="236"/>
      <c r="H4" s="15"/>
      <c r="I4" s="222"/>
      <c r="J4" s="222"/>
      <c r="K4" s="4" t="s">
        <v>5</v>
      </c>
    </row>
    <row r="5" spans="1:11" s="1" customFormat="1" ht="12.75" x14ac:dyDescent="0.2">
      <c r="A5" s="223"/>
      <c r="B5" s="223"/>
      <c r="C5" s="223"/>
      <c r="D5" s="5" t="s">
        <v>6</v>
      </c>
      <c r="E5" s="9" t="s">
        <v>7</v>
      </c>
      <c r="F5" s="8" t="s">
        <v>8</v>
      </c>
      <c r="G5" s="233"/>
      <c r="H5" s="14"/>
      <c r="I5" s="223"/>
      <c r="J5" s="223"/>
      <c r="K5" s="6"/>
    </row>
    <row r="6" spans="1:11" x14ac:dyDescent="0.25">
      <c r="A6" s="23">
        <v>1</v>
      </c>
      <c r="B6" s="36">
        <v>43153</v>
      </c>
      <c r="C6" s="37" t="s">
        <v>31</v>
      </c>
      <c r="D6" s="48">
        <v>261</v>
      </c>
      <c r="E6" s="47">
        <v>43152</v>
      </c>
      <c r="F6" s="48">
        <v>180</v>
      </c>
      <c r="G6" s="38">
        <f t="shared" ref="G6:G37" si="0">E6+F6</f>
        <v>43332</v>
      </c>
      <c r="H6" s="39"/>
      <c r="I6" s="40">
        <f t="shared" ref="I6:I37" ca="1" si="1">IF(H6="",IF(G6="","",G6-TODAY()),IF(G6-H6&gt;0,CONCATENATE("CONCLUÍDO COM ",G6-H6,"DIAS DE ANTECEDÊNCIA"),IF(G6-H6&lt;0,CONCATENATE("CONCLUÍDO COM ",H6-G6," DIAS DE ATRASO"),"CONCLUÍDO NO PRAZO")))</f>
        <v>-93</v>
      </c>
      <c r="J6" s="41" t="s">
        <v>15</v>
      </c>
      <c r="K6" s="19"/>
    </row>
    <row r="7" spans="1:11" x14ac:dyDescent="0.25">
      <c r="A7" s="23">
        <v>2</v>
      </c>
      <c r="B7" s="42">
        <v>43167</v>
      </c>
      <c r="C7" s="43" t="s">
        <v>28</v>
      </c>
      <c r="D7" s="45">
        <v>77</v>
      </c>
      <c r="E7" s="46">
        <v>43157</v>
      </c>
      <c r="F7" s="45">
        <v>180</v>
      </c>
      <c r="G7" s="22">
        <f t="shared" si="0"/>
        <v>43337</v>
      </c>
      <c r="H7" s="18"/>
      <c r="I7" s="7">
        <f t="shared" ca="1" si="1"/>
        <v>-88</v>
      </c>
      <c r="J7" s="44" t="s">
        <v>14</v>
      </c>
      <c r="K7" s="19"/>
    </row>
    <row r="8" spans="1:11" x14ac:dyDescent="0.25">
      <c r="A8" s="23">
        <v>3</v>
      </c>
      <c r="B8" s="42">
        <v>43171</v>
      </c>
      <c r="C8" s="43" t="s">
        <v>18</v>
      </c>
      <c r="D8" s="45">
        <v>8</v>
      </c>
      <c r="E8" s="46">
        <v>43157</v>
      </c>
      <c r="F8" s="45">
        <v>180</v>
      </c>
      <c r="G8" s="22">
        <f t="shared" si="0"/>
        <v>43337</v>
      </c>
      <c r="H8" s="18"/>
      <c r="I8" s="7">
        <f t="shared" ca="1" si="1"/>
        <v>-88</v>
      </c>
      <c r="J8" s="44" t="s">
        <v>15</v>
      </c>
      <c r="K8" s="19"/>
    </row>
    <row r="9" spans="1:11" x14ac:dyDescent="0.25">
      <c r="A9" s="23">
        <v>4</v>
      </c>
      <c r="B9" s="42">
        <v>43172</v>
      </c>
      <c r="C9" s="43" t="s">
        <v>39</v>
      </c>
      <c r="D9" s="45">
        <v>104</v>
      </c>
      <c r="E9" s="46">
        <v>43164</v>
      </c>
      <c r="F9" s="45">
        <v>180</v>
      </c>
      <c r="G9" s="22">
        <f t="shared" si="0"/>
        <v>43344</v>
      </c>
      <c r="H9" s="18"/>
      <c r="I9" s="40">
        <f t="shared" ca="1" si="1"/>
        <v>-81</v>
      </c>
      <c r="J9" s="44" t="s">
        <v>14</v>
      </c>
      <c r="K9" s="19"/>
    </row>
    <row r="10" spans="1:11" x14ac:dyDescent="0.25">
      <c r="A10" s="23">
        <v>5</v>
      </c>
      <c r="B10" s="42">
        <v>43172</v>
      </c>
      <c r="C10" s="43" t="s">
        <v>46</v>
      </c>
      <c r="D10" s="45">
        <v>13</v>
      </c>
      <c r="E10" s="46">
        <v>43164</v>
      </c>
      <c r="F10" s="45">
        <v>180</v>
      </c>
      <c r="G10" s="22">
        <f t="shared" si="0"/>
        <v>43344</v>
      </c>
      <c r="H10" s="18"/>
      <c r="I10" s="40">
        <f t="shared" ca="1" si="1"/>
        <v>-81</v>
      </c>
      <c r="J10" s="44" t="s">
        <v>15</v>
      </c>
      <c r="K10" s="19"/>
    </row>
    <row r="11" spans="1:11" x14ac:dyDescent="0.25">
      <c r="A11" s="23">
        <v>6</v>
      </c>
      <c r="B11" s="42">
        <v>43180</v>
      </c>
      <c r="C11" s="37" t="s">
        <v>47</v>
      </c>
      <c r="D11" s="67">
        <v>63</v>
      </c>
      <c r="E11" s="69">
        <v>43164</v>
      </c>
      <c r="F11" s="70">
        <v>180</v>
      </c>
      <c r="G11" s="38">
        <f t="shared" si="0"/>
        <v>43344</v>
      </c>
      <c r="H11" s="39"/>
      <c r="I11" s="40">
        <f t="shared" ca="1" si="1"/>
        <v>-81</v>
      </c>
      <c r="J11" s="41" t="s">
        <v>14</v>
      </c>
      <c r="K11" s="19"/>
    </row>
    <row r="12" spans="1:11" x14ac:dyDescent="0.25">
      <c r="A12" s="23">
        <v>7</v>
      </c>
      <c r="B12" s="42">
        <v>43174</v>
      </c>
      <c r="C12" s="43" t="s">
        <v>33</v>
      </c>
      <c r="D12" s="45">
        <v>2757</v>
      </c>
      <c r="E12" s="46">
        <v>43166</v>
      </c>
      <c r="F12" s="45">
        <v>180</v>
      </c>
      <c r="G12" s="22">
        <f t="shared" si="0"/>
        <v>43346</v>
      </c>
      <c r="H12" s="18"/>
      <c r="I12" s="40">
        <f t="shared" ca="1" si="1"/>
        <v>-79</v>
      </c>
      <c r="J12" s="44" t="s">
        <v>14</v>
      </c>
      <c r="K12" s="19"/>
    </row>
    <row r="13" spans="1:11" x14ac:dyDescent="0.25">
      <c r="A13" s="104">
        <v>8</v>
      </c>
      <c r="B13" s="105">
        <v>43228</v>
      </c>
      <c r="C13" s="103" t="s">
        <v>63</v>
      </c>
      <c r="D13" s="116">
        <v>22</v>
      </c>
      <c r="E13" s="117">
        <v>43175</v>
      </c>
      <c r="F13" s="116">
        <v>180</v>
      </c>
      <c r="G13" s="114">
        <f t="shared" si="0"/>
        <v>43355</v>
      </c>
      <c r="H13" s="118"/>
      <c r="I13" s="106">
        <f t="shared" ca="1" si="1"/>
        <v>-70</v>
      </c>
      <c r="J13" s="119" t="s">
        <v>15</v>
      </c>
      <c r="K13" s="19"/>
    </row>
    <row r="14" spans="1:11" x14ac:dyDescent="0.25">
      <c r="A14" s="23">
        <v>9</v>
      </c>
      <c r="B14" s="42">
        <v>43185</v>
      </c>
      <c r="C14" s="43" t="s">
        <v>30</v>
      </c>
      <c r="D14" s="67">
        <v>8</v>
      </c>
      <c r="E14" s="69">
        <v>43179</v>
      </c>
      <c r="F14" s="70">
        <v>180</v>
      </c>
      <c r="G14" s="22">
        <f t="shared" si="0"/>
        <v>43359</v>
      </c>
      <c r="H14" s="18"/>
      <c r="I14" s="40">
        <f t="shared" ca="1" si="1"/>
        <v>-66</v>
      </c>
      <c r="J14" s="61" t="s">
        <v>15</v>
      </c>
      <c r="K14" s="19"/>
    </row>
    <row r="15" spans="1:11" x14ac:dyDescent="0.25">
      <c r="A15" s="23">
        <v>10</v>
      </c>
      <c r="B15" s="42">
        <v>43202</v>
      </c>
      <c r="C15" s="43" t="s">
        <v>52</v>
      </c>
      <c r="D15" s="55">
        <v>24</v>
      </c>
      <c r="E15" s="56">
        <v>43181</v>
      </c>
      <c r="F15" s="57">
        <v>180</v>
      </c>
      <c r="G15" s="22">
        <f t="shared" si="0"/>
        <v>43361</v>
      </c>
      <c r="H15" s="18"/>
      <c r="I15" s="40">
        <f t="shared" ca="1" si="1"/>
        <v>-64</v>
      </c>
      <c r="J15" s="44" t="s">
        <v>14</v>
      </c>
      <c r="K15" s="19"/>
    </row>
    <row r="16" spans="1:11" x14ac:dyDescent="0.25">
      <c r="A16" s="23">
        <v>11</v>
      </c>
      <c r="B16" s="42">
        <v>43201</v>
      </c>
      <c r="C16" s="43" t="s">
        <v>51</v>
      </c>
      <c r="D16" s="49">
        <v>1080</v>
      </c>
      <c r="E16" s="50">
        <v>43182</v>
      </c>
      <c r="F16" s="51">
        <v>180</v>
      </c>
      <c r="G16" s="22">
        <f t="shared" si="0"/>
        <v>43362</v>
      </c>
      <c r="H16" s="18"/>
      <c r="I16" s="40">
        <f t="shared" ca="1" si="1"/>
        <v>-63</v>
      </c>
      <c r="J16" s="44" t="s">
        <v>15</v>
      </c>
      <c r="K16" s="19"/>
    </row>
    <row r="17" spans="1:11" x14ac:dyDescent="0.25">
      <c r="A17" s="23">
        <v>12</v>
      </c>
      <c r="B17" s="42">
        <v>43202</v>
      </c>
      <c r="C17" s="43" t="s">
        <v>53</v>
      </c>
      <c r="D17" s="49">
        <v>103</v>
      </c>
      <c r="E17" s="50">
        <v>43186</v>
      </c>
      <c r="F17" s="51">
        <v>180</v>
      </c>
      <c r="G17" s="22">
        <f t="shared" si="0"/>
        <v>43366</v>
      </c>
      <c r="H17" s="18"/>
      <c r="I17" s="40">
        <f t="shared" ca="1" si="1"/>
        <v>-59</v>
      </c>
      <c r="J17" s="44" t="s">
        <v>15</v>
      </c>
      <c r="K17" s="19"/>
    </row>
    <row r="18" spans="1:11" x14ac:dyDescent="0.25">
      <c r="A18" s="23">
        <v>13</v>
      </c>
      <c r="B18" s="42">
        <v>43199</v>
      </c>
      <c r="C18" s="43" t="s">
        <v>48</v>
      </c>
      <c r="D18" s="49">
        <v>11</v>
      </c>
      <c r="E18" s="50">
        <v>43187</v>
      </c>
      <c r="F18" s="51">
        <v>180</v>
      </c>
      <c r="G18" s="22">
        <f t="shared" si="0"/>
        <v>43367</v>
      </c>
      <c r="H18" s="18"/>
      <c r="I18" s="40">
        <f t="shared" ca="1" si="1"/>
        <v>-58</v>
      </c>
      <c r="J18" s="44" t="s">
        <v>15</v>
      </c>
      <c r="K18" s="19"/>
    </row>
    <row r="19" spans="1:11" x14ac:dyDescent="0.25">
      <c r="A19" s="23">
        <v>14</v>
      </c>
      <c r="B19" s="42">
        <v>43157</v>
      </c>
      <c r="C19" s="43" t="s">
        <v>32</v>
      </c>
      <c r="D19" s="66">
        <v>11</v>
      </c>
      <c r="E19" s="68">
        <v>43193</v>
      </c>
      <c r="F19" s="66">
        <v>180</v>
      </c>
      <c r="G19" s="60">
        <f t="shared" si="0"/>
        <v>43373</v>
      </c>
      <c r="H19" s="18"/>
      <c r="I19" s="40">
        <f t="shared" ca="1" si="1"/>
        <v>-52</v>
      </c>
      <c r="J19" s="44" t="s">
        <v>15</v>
      </c>
      <c r="K19" s="19"/>
    </row>
    <row r="20" spans="1:11" x14ac:dyDescent="0.25">
      <c r="A20" s="23">
        <v>15</v>
      </c>
      <c r="B20" s="42">
        <v>43206</v>
      </c>
      <c r="C20" s="43" t="s">
        <v>55</v>
      </c>
      <c r="D20" s="49">
        <v>26</v>
      </c>
      <c r="E20" s="50">
        <v>43193</v>
      </c>
      <c r="F20" s="51">
        <v>180</v>
      </c>
      <c r="G20" s="22">
        <f t="shared" si="0"/>
        <v>43373</v>
      </c>
      <c r="H20" s="18"/>
      <c r="I20" s="40">
        <f t="shared" ca="1" si="1"/>
        <v>-52</v>
      </c>
      <c r="J20" s="44" t="s">
        <v>15</v>
      </c>
      <c r="K20" s="19"/>
    </row>
    <row r="21" spans="1:11" x14ac:dyDescent="0.25">
      <c r="A21" s="23">
        <v>16</v>
      </c>
      <c r="B21" s="42">
        <v>43208</v>
      </c>
      <c r="C21" s="43" t="s">
        <v>56</v>
      </c>
      <c r="D21" s="49">
        <v>11</v>
      </c>
      <c r="E21" s="50">
        <v>43194</v>
      </c>
      <c r="F21" s="51">
        <v>180</v>
      </c>
      <c r="G21" s="22">
        <f t="shared" si="0"/>
        <v>43374</v>
      </c>
      <c r="H21" s="18"/>
      <c r="I21" s="40">
        <f t="shared" ca="1" si="1"/>
        <v>-51</v>
      </c>
      <c r="J21" s="44" t="s">
        <v>15</v>
      </c>
      <c r="K21" s="19"/>
    </row>
    <row r="22" spans="1:11" x14ac:dyDescent="0.25">
      <c r="A22" s="23">
        <v>17</v>
      </c>
      <c r="B22" s="42">
        <v>43203</v>
      </c>
      <c r="C22" s="43" t="s">
        <v>54</v>
      </c>
      <c r="D22" s="52">
        <v>5</v>
      </c>
      <c r="E22" s="53">
        <v>43196</v>
      </c>
      <c r="F22" s="54">
        <v>180</v>
      </c>
      <c r="G22" s="22">
        <f t="shared" si="0"/>
        <v>43376</v>
      </c>
      <c r="H22" s="18"/>
      <c r="I22" s="40">
        <f t="shared" ca="1" si="1"/>
        <v>-49</v>
      </c>
      <c r="J22" s="44" t="s">
        <v>14</v>
      </c>
      <c r="K22" s="19"/>
    </row>
    <row r="23" spans="1:11" x14ac:dyDescent="0.25">
      <c r="A23" s="23">
        <v>18</v>
      </c>
      <c r="B23" s="42">
        <v>43201</v>
      </c>
      <c r="C23" s="43" t="s">
        <v>49</v>
      </c>
      <c r="D23" s="55">
        <v>156</v>
      </c>
      <c r="E23" s="56">
        <v>43199</v>
      </c>
      <c r="F23" s="57">
        <v>180</v>
      </c>
      <c r="G23" s="22">
        <f t="shared" si="0"/>
        <v>43379</v>
      </c>
      <c r="H23" s="18"/>
      <c r="I23" s="40">
        <f t="shared" ca="1" si="1"/>
        <v>-46</v>
      </c>
      <c r="J23" s="44" t="s">
        <v>15</v>
      </c>
      <c r="K23" s="19"/>
    </row>
    <row r="24" spans="1:11" x14ac:dyDescent="0.25">
      <c r="A24" s="23">
        <v>19</v>
      </c>
      <c r="B24" s="42">
        <v>43201</v>
      </c>
      <c r="C24" s="43" t="s">
        <v>50</v>
      </c>
      <c r="D24" s="55">
        <v>102</v>
      </c>
      <c r="E24" s="56">
        <v>43199</v>
      </c>
      <c r="F24" s="57">
        <v>180</v>
      </c>
      <c r="G24" s="22">
        <f t="shared" si="0"/>
        <v>43379</v>
      </c>
      <c r="H24" s="18"/>
      <c r="I24" s="40">
        <f t="shared" ca="1" si="1"/>
        <v>-46</v>
      </c>
      <c r="J24" s="44" t="s">
        <v>15</v>
      </c>
      <c r="K24" s="19"/>
    </row>
    <row r="25" spans="1:11" x14ac:dyDescent="0.25">
      <c r="A25" s="23">
        <v>20</v>
      </c>
      <c r="B25" s="42">
        <v>43224</v>
      </c>
      <c r="C25" s="43" t="s">
        <v>59</v>
      </c>
      <c r="D25" s="55">
        <v>17</v>
      </c>
      <c r="E25" s="56">
        <v>43206</v>
      </c>
      <c r="F25" s="57">
        <v>180</v>
      </c>
      <c r="G25" s="22">
        <f t="shared" si="0"/>
        <v>43386</v>
      </c>
      <c r="H25" s="18"/>
      <c r="I25" s="40">
        <f t="shared" ca="1" si="1"/>
        <v>-39</v>
      </c>
      <c r="J25" s="44" t="s">
        <v>15</v>
      </c>
      <c r="K25" s="19"/>
    </row>
    <row r="26" spans="1:11" x14ac:dyDescent="0.25">
      <c r="A26" s="23">
        <v>21</v>
      </c>
      <c r="B26" s="42">
        <v>43230</v>
      </c>
      <c r="C26" s="43" t="s">
        <v>65</v>
      </c>
      <c r="D26" s="55">
        <v>19</v>
      </c>
      <c r="E26" s="56">
        <v>43210</v>
      </c>
      <c r="F26" s="57">
        <v>180</v>
      </c>
      <c r="G26" s="22">
        <f t="shared" si="0"/>
        <v>43390</v>
      </c>
      <c r="H26" s="18"/>
      <c r="I26" s="40">
        <f t="shared" ca="1" si="1"/>
        <v>-35</v>
      </c>
      <c r="J26" s="44" t="s">
        <v>15</v>
      </c>
      <c r="K26" s="19"/>
    </row>
    <row r="27" spans="1:11" x14ac:dyDescent="0.25">
      <c r="A27" s="23">
        <v>22</v>
      </c>
      <c r="B27" s="42">
        <v>43222</v>
      </c>
      <c r="C27" s="43" t="s">
        <v>58</v>
      </c>
      <c r="D27" s="55">
        <v>819</v>
      </c>
      <c r="E27" s="56">
        <v>43213</v>
      </c>
      <c r="F27" s="57">
        <v>180</v>
      </c>
      <c r="G27" s="22">
        <f t="shared" si="0"/>
        <v>43393</v>
      </c>
      <c r="H27" s="18"/>
      <c r="I27" s="40">
        <f t="shared" ca="1" si="1"/>
        <v>-32</v>
      </c>
      <c r="J27" s="44" t="s">
        <v>15</v>
      </c>
      <c r="K27" s="19"/>
    </row>
    <row r="28" spans="1:11" x14ac:dyDescent="0.25">
      <c r="A28" s="23">
        <v>23</v>
      </c>
      <c r="B28" s="42">
        <v>43214</v>
      </c>
      <c r="C28" s="43" t="s">
        <v>57</v>
      </c>
      <c r="D28" s="55">
        <v>1128</v>
      </c>
      <c r="E28" s="56">
        <v>43215</v>
      </c>
      <c r="F28" s="57">
        <v>180</v>
      </c>
      <c r="G28" s="22">
        <f t="shared" si="0"/>
        <v>43395</v>
      </c>
      <c r="H28" s="18"/>
      <c r="I28" s="40">
        <f t="shared" ca="1" si="1"/>
        <v>-30</v>
      </c>
      <c r="J28" s="44" t="s">
        <v>15</v>
      </c>
      <c r="K28" s="19"/>
    </row>
    <row r="29" spans="1:11" x14ac:dyDescent="0.25">
      <c r="A29" s="23">
        <v>24</v>
      </c>
      <c r="B29" s="42">
        <v>43224</v>
      </c>
      <c r="C29" s="43" t="s">
        <v>60</v>
      </c>
      <c r="D29" s="55">
        <v>14</v>
      </c>
      <c r="E29" s="56">
        <v>43215</v>
      </c>
      <c r="F29" s="57">
        <v>180</v>
      </c>
      <c r="G29" s="22">
        <f t="shared" si="0"/>
        <v>43395</v>
      </c>
      <c r="H29" s="18"/>
      <c r="I29" s="40">
        <f t="shared" ca="1" si="1"/>
        <v>-30</v>
      </c>
      <c r="J29" s="44" t="s">
        <v>15</v>
      </c>
      <c r="K29" s="19"/>
    </row>
    <row r="30" spans="1:11" x14ac:dyDescent="0.25">
      <c r="A30" s="23">
        <v>25</v>
      </c>
      <c r="B30" s="42">
        <v>43224</v>
      </c>
      <c r="C30" s="43" t="s">
        <v>61</v>
      </c>
      <c r="D30" s="55">
        <v>17</v>
      </c>
      <c r="E30" s="56">
        <v>43222</v>
      </c>
      <c r="F30" s="57">
        <v>180</v>
      </c>
      <c r="G30" s="22">
        <f t="shared" si="0"/>
        <v>43402</v>
      </c>
      <c r="H30" s="18"/>
      <c r="I30" s="7">
        <f t="shared" ca="1" si="1"/>
        <v>-23</v>
      </c>
      <c r="J30" s="44" t="s">
        <v>15</v>
      </c>
      <c r="K30" s="19"/>
    </row>
    <row r="31" spans="1:11" x14ac:dyDescent="0.25">
      <c r="A31" s="23">
        <v>26</v>
      </c>
      <c r="B31" s="42">
        <v>43229</v>
      </c>
      <c r="C31" s="43" t="s">
        <v>64</v>
      </c>
      <c r="D31" s="55">
        <v>39</v>
      </c>
      <c r="E31" s="56">
        <v>43222</v>
      </c>
      <c r="F31" s="57">
        <v>180</v>
      </c>
      <c r="G31" s="22">
        <f t="shared" si="0"/>
        <v>43402</v>
      </c>
      <c r="H31" s="18"/>
      <c r="I31" s="40">
        <f t="shared" ca="1" si="1"/>
        <v>-23</v>
      </c>
      <c r="J31" s="44" t="s">
        <v>15</v>
      </c>
      <c r="K31" s="19"/>
    </row>
    <row r="32" spans="1:11" x14ac:dyDescent="0.25">
      <c r="A32" s="23">
        <v>27</v>
      </c>
      <c r="B32" s="42">
        <v>43227</v>
      </c>
      <c r="C32" s="43" t="s">
        <v>62</v>
      </c>
      <c r="D32" s="55">
        <v>9</v>
      </c>
      <c r="E32" s="56">
        <v>43223</v>
      </c>
      <c r="F32" s="57">
        <v>180</v>
      </c>
      <c r="G32" s="22">
        <f t="shared" si="0"/>
        <v>43403</v>
      </c>
      <c r="H32" s="18"/>
      <c r="I32" s="40">
        <f t="shared" ca="1" si="1"/>
        <v>-22</v>
      </c>
      <c r="J32" s="44" t="s">
        <v>15</v>
      </c>
      <c r="K32" s="19"/>
    </row>
    <row r="33" spans="1:11" x14ac:dyDescent="0.25">
      <c r="A33" s="23">
        <v>28</v>
      </c>
      <c r="B33" s="42">
        <v>43241</v>
      </c>
      <c r="C33" s="43" t="s">
        <v>66</v>
      </c>
      <c r="D33" s="55">
        <v>26</v>
      </c>
      <c r="E33" s="56">
        <v>43229</v>
      </c>
      <c r="F33" s="57">
        <v>180</v>
      </c>
      <c r="G33" s="22">
        <f t="shared" si="0"/>
        <v>43409</v>
      </c>
      <c r="H33" s="18"/>
      <c r="I33" s="7">
        <f t="shared" ca="1" si="1"/>
        <v>-16</v>
      </c>
      <c r="J33" s="44" t="s">
        <v>15</v>
      </c>
      <c r="K33" s="19"/>
    </row>
    <row r="34" spans="1:11" x14ac:dyDescent="0.25">
      <c r="A34" s="23">
        <v>29</v>
      </c>
      <c r="B34" s="42">
        <v>43255</v>
      </c>
      <c r="C34" s="43" t="s">
        <v>67</v>
      </c>
      <c r="D34" s="55">
        <v>19</v>
      </c>
      <c r="E34" s="56">
        <v>43231</v>
      </c>
      <c r="F34" s="57">
        <v>180</v>
      </c>
      <c r="G34" s="62">
        <f t="shared" si="0"/>
        <v>43411</v>
      </c>
      <c r="H34" s="63"/>
      <c r="I34" s="64">
        <f t="shared" ca="1" si="1"/>
        <v>-14</v>
      </c>
      <c r="J34" s="44" t="s">
        <v>15</v>
      </c>
      <c r="K34" s="19"/>
    </row>
    <row r="35" spans="1:11" x14ac:dyDescent="0.25">
      <c r="A35" s="23">
        <v>30</v>
      </c>
      <c r="B35" s="42">
        <v>43255</v>
      </c>
      <c r="C35" s="43" t="s">
        <v>69</v>
      </c>
      <c r="D35" s="55">
        <v>141</v>
      </c>
      <c r="E35" s="56">
        <v>43236</v>
      </c>
      <c r="F35" s="57">
        <v>180</v>
      </c>
      <c r="G35" s="62">
        <f t="shared" si="0"/>
        <v>43416</v>
      </c>
      <c r="H35" s="63"/>
      <c r="I35" s="64">
        <f t="shared" ca="1" si="1"/>
        <v>-9</v>
      </c>
      <c r="J35" s="44" t="s">
        <v>14</v>
      </c>
      <c r="K35" s="19"/>
    </row>
    <row r="36" spans="1:11" x14ac:dyDescent="0.25">
      <c r="A36" s="23">
        <v>31</v>
      </c>
      <c r="B36" s="42">
        <v>43255</v>
      </c>
      <c r="C36" s="43" t="s">
        <v>68</v>
      </c>
      <c r="D36" s="55">
        <v>23</v>
      </c>
      <c r="E36" s="56">
        <v>43244</v>
      </c>
      <c r="F36" s="57">
        <v>180</v>
      </c>
      <c r="G36" s="62">
        <f t="shared" si="0"/>
        <v>43424</v>
      </c>
      <c r="H36" s="63"/>
      <c r="I36" s="64">
        <f t="shared" ca="1" si="1"/>
        <v>-1</v>
      </c>
      <c r="J36" s="44" t="s">
        <v>15</v>
      </c>
      <c r="K36" s="19"/>
    </row>
    <row r="37" spans="1:11" x14ac:dyDescent="0.25">
      <c r="A37" s="23">
        <v>32</v>
      </c>
      <c r="B37" s="42">
        <v>43255</v>
      </c>
      <c r="C37" s="43" t="s">
        <v>70</v>
      </c>
      <c r="D37" s="55">
        <v>19</v>
      </c>
      <c r="E37" s="56">
        <v>43244</v>
      </c>
      <c r="F37" s="57">
        <v>180</v>
      </c>
      <c r="G37" s="62">
        <f t="shared" si="0"/>
        <v>43424</v>
      </c>
      <c r="H37" s="63"/>
      <c r="I37" s="64">
        <f t="shared" ca="1" si="1"/>
        <v>-1</v>
      </c>
      <c r="J37" s="44" t="s">
        <v>15</v>
      </c>
      <c r="K37" s="19"/>
    </row>
    <row r="38" spans="1:11" x14ac:dyDescent="0.25">
      <c r="A38" s="23">
        <v>33</v>
      </c>
      <c r="B38" s="42">
        <v>43258</v>
      </c>
      <c r="C38" s="43" t="s">
        <v>25</v>
      </c>
      <c r="D38" s="55">
        <v>236</v>
      </c>
      <c r="E38" s="56">
        <v>43249</v>
      </c>
      <c r="F38" s="57">
        <v>180</v>
      </c>
      <c r="G38" s="62">
        <f t="shared" ref="G38:G69" si="2">E38+F38</f>
        <v>43429</v>
      </c>
      <c r="H38" s="63"/>
      <c r="I38" s="64">
        <f t="shared" ref="I38:I69" ca="1" si="3">IF(H38="",IF(G38="","",G38-TODAY()),IF(G38-H38&gt;0,CONCATENATE("CONCLUÍDO COM ",G38-H38,"DIAS DE ANTECEDÊNCIA"),IF(G38-H38&lt;0,CONCATENATE("CONCLUÍDO COM ",H38-G38," DIAS DE ATRASO"),"CONCLUÍDO NO PRAZO")))</f>
        <v>4</v>
      </c>
      <c r="J38" s="44" t="s">
        <v>15</v>
      </c>
      <c r="K38" s="19"/>
    </row>
    <row r="39" spans="1:11" x14ac:dyDescent="0.25">
      <c r="A39" s="23">
        <v>34</v>
      </c>
      <c r="B39" s="42">
        <v>43266</v>
      </c>
      <c r="C39" s="65" t="s">
        <v>73</v>
      </c>
      <c r="D39" s="55">
        <v>21</v>
      </c>
      <c r="E39" s="56">
        <v>43250</v>
      </c>
      <c r="F39" s="57">
        <v>180</v>
      </c>
      <c r="G39" s="62">
        <f t="shared" si="2"/>
        <v>43430</v>
      </c>
      <c r="H39" s="63"/>
      <c r="I39" s="64">
        <f t="shared" ca="1" si="3"/>
        <v>5</v>
      </c>
      <c r="J39" s="44" t="s">
        <v>15</v>
      </c>
      <c r="K39" s="19"/>
    </row>
    <row r="40" spans="1:11" x14ac:dyDescent="0.25">
      <c r="A40" s="104">
        <v>35</v>
      </c>
      <c r="B40" s="107">
        <v>43269</v>
      </c>
      <c r="C40" s="103" t="s">
        <v>74</v>
      </c>
      <c r="D40" s="102">
        <v>2129</v>
      </c>
      <c r="E40" s="111">
        <v>43257</v>
      </c>
      <c r="F40" s="112">
        <v>180</v>
      </c>
      <c r="G40" s="114">
        <f t="shared" si="2"/>
        <v>43437</v>
      </c>
      <c r="H40" s="109"/>
      <c r="I40" s="113">
        <f t="shared" ca="1" si="3"/>
        <v>12</v>
      </c>
      <c r="J40" s="110" t="s">
        <v>15</v>
      </c>
      <c r="K40" s="19"/>
    </row>
    <row r="41" spans="1:11" x14ac:dyDescent="0.25">
      <c r="A41" s="23">
        <v>36</v>
      </c>
      <c r="B41" s="42">
        <v>43262</v>
      </c>
      <c r="C41" s="65" t="s">
        <v>71</v>
      </c>
      <c r="D41" s="55">
        <v>3699</v>
      </c>
      <c r="E41" s="56">
        <v>43258</v>
      </c>
      <c r="F41" s="57">
        <v>180</v>
      </c>
      <c r="G41" s="62">
        <f t="shared" si="2"/>
        <v>43438</v>
      </c>
      <c r="H41" s="63"/>
      <c r="I41" s="64">
        <f t="shared" ca="1" si="3"/>
        <v>13</v>
      </c>
      <c r="J41" s="44" t="s">
        <v>15</v>
      </c>
      <c r="K41" s="19"/>
    </row>
    <row r="42" spans="1:11" x14ac:dyDescent="0.25">
      <c r="A42" s="23">
        <v>37</v>
      </c>
      <c r="B42" s="42">
        <v>43269</v>
      </c>
      <c r="C42" s="65" t="s">
        <v>75</v>
      </c>
      <c r="D42" s="55">
        <v>326</v>
      </c>
      <c r="E42" s="56">
        <v>43259</v>
      </c>
      <c r="F42" s="57">
        <v>180</v>
      </c>
      <c r="G42" s="60">
        <f t="shared" si="2"/>
        <v>43439</v>
      </c>
      <c r="H42" s="63"/>
      <c r="I42" s="64">
        <f t="shared" ca="1" si="3"/>
        <v>14</v>
      </c>
      <c r="J42" s="44" t="s">
        <v>15</v>
      </c>
      <c r="K42" s="19"/>
    </row>
    <row r="43" spans="1:11" x14ac:dyDescent="0.25">
      <c r="A43" s="23">
        <v>38</v>
      </c>
      <c r="B43" s="42">
        <v>43266</v>
      </c>
      <c r="C43" s="65" t="s">
        <v>34</v>
      </c>
      <c r="D43" s="55">
        <v>54</v>
      </c>
      <c r="E43" s="56">
        <v>43263</v>
      </c>
      <c r="F43" s="57">
        <v>180</v>
      </c>
      <c r="G43" s="60">
        <f t="shared" si="2"/>
        <v>43443</v>
      </c>
      <c r="H43" s="63"/>
      <c r="I43" s="64">
        <f t="shared" ca="1" si="3"/>
        <v>18</v>
      </c>
      <c r="J43" s="44" t="s">
        <v>15</v>
      </c>
      <c r="K43" s="19"/>
    </row>
    <row r="44" spans="1:11" x14ac:dyDescent="0.25">
      <c r="A44" s="23">
        <v>39</v>
      </c>
      <c r="B44" s="42">
        <v>43266</v>
      </c>
      <c r="C44" s="65" t="s">
        <v>72</v>
      </c>
      <c r="D44" s="55">
        <v>27</v>
      </c>
      <c r="E44" s="56">
        <v>43263</v>
      </c>
      <c r="F44" s="57">
        <v>180</v>
      </c>
      <c r="G44" s="60">
        <f t="shared" si="2"/>
        <v>43443</v>
      </c>
      <c r="H44" s="63"/>
      <c r="I44" s="64">
        <f t="shared" ca="1" si="3"/>
        <v>18</v>
      </c>
      <c r="J44" s="44" t="s">
        <v>15</v>
      </c>
      <c r="K44" s="19"/>
    </row>
    <row r="45" spans="1:11" x14ac:dyDescent="0.25">
      <c r="A45" s="23">
        <v>40</v>
      </c>
      <c r="B45" s="42">
        <v>43269</v>
      </c>
      <c r="C45" s="81" t="s">
        <v>78</v>
      </c>
      <c r="D45" s="55">
        <v>21</v>
      </c>
      <c r="E45" s="56">
        <v>43258</v>
      </c>
      <c r="F45" s="57">
        <v>180</v>
      </c>
      <c r="G45" s="60">
        <f t="shared" si="2"/>
        <v>43438</v>
      </c>
      <c r="H45" s="63"/>
      <c r="I45" s="71">
        <f t="shared" ca="1" si="3"/>
        <v>13</v>
      </c>
      <c r="J45" s="76" t="s">
        <v>14</v>
      </c>
      <c r="K45" s="19"/>
    </row>
    <row r="46" spans="1:11" x14ac:dyDescent="0.25">
      <c r="A46" s="104">
        <v>41</v>
      </c>
      <c r="B46" s="107">
        <v>43270</v>
      </c>
      <c r="C46" s="115" t="s">
        <v>76</v>
      </c>
      <c r="D46" s="102">
        <v>308</v>
      </c>
      <c r="E46" s="111">
        <v>43265</v>
      </c>
      <c r="F46" s="112">
        <v>180</v>
      </c>
      <c r="G46" s="114">
        <f t="shared" si="2"/>
        <v>43445</v>
      </c>
      <c r="H46" s="109"/>
      <c r="I46" s="113">
        <f t="shared" ca="1" si="3"/>
        <v>20</v>
      </c>
      <c r="J46" s="110" t="s">
        <v>15</v>
      </c>
      <c r="K46" s="19"/>
    </row>
    <row r="47" spans="1:11" x14ac:dyDescent="0.25">
      <c r="A47" s="23">
        <v>42</v>
      </c>
      <c r="B47" s="72">
        <v>43270</v>
      </c>
      <c r="C47" s="82" t="s">
        <v>77</v>
      </c>
      <c r="D47" s="77">
        <v>7</v>
      </c>
      <c r="E47" s="78">
        <v>43268</v>
      </c>
      <c r="F47" s="79">
        <v>180</v>
      </c>
      <c r="G47" s="80">
        <f t="shared" si="2"/>
        <v>43448</v>
      </c>
      <c r="H47" s="73"/>
      <c r="I47" s="74">
        <f t="shared" ca="1" si="3"/>
        <v>23</v>
      </c>
      <c r="J47" s="75" t="s">
        <v>14</v>
      </c>
      <c r="K47" s="19"/>
    </row>
    <row r="48" spans="1:11" x14ac:dyDescent="0.25">
      <c r="A48" s="23">
        <v>43</v>
      </c>
      <c r="B48" s="42">
        <v>43271</v>
      </c>
      <c r="C48" s="83" t="s">
        <v>79</v>
      </c>
      <c r="D48" s="55">
        <v>8025</v>
      </c>
      <c r="E48" s="56">
        <v>43256</v>
      </c>
      <c r="F48" s="57">
        <v>180</v>
      </c>
      <c r="G48" s="62">
        <f t="shared" si="2"/>
        <v>43436</v>
      </c>
      <c r="H48" s="63"/>
      <c r="I48" s="64">
        <f t="shared" ca="1" si="3"/>
        <v>11</v>
      </c>
      <c r="J48" s="44" t="s">
        <v>15</v>
      </c>
      <c r="K48" s="19"/>
    </row>
    <row r="49" spans="1:11" x14ac:dyDescent="0.25">
      <c r="A49" s="23">
        <v>44</v>
      </c>
      <c r="B49" s="42">
        <v>43271</v>
      </c>
      <c r="C49" s="83" t="s">
        <v>80</v>
      </c>
      <c r="D49" s="55">
        <v>29</v>
      </c>
      <c r="E49" s="56">
        <v>43269</v>
      </c>
      <c r="F49" s="57">
        <v>180</v>
      </c>
      <c r="G49" s="62">
        <f t="shared" si="2"/>
        <v>43449</v>
      </c>
      <c r="H49" s="63"/>
      <c r="I49" s="64">
        <f t="shared" ca="1" si="3"/>
        <v>24</v>
      </c>
      <c r="J49" s="44" t="s">
        <v>15</v>
      </c>
      <c r="K49" s="19"/>
    </row>
    <row r="50" spans="1:11" x14ac:dyDescent="0.25">
      <c r="A50" s="23">
        <v>45</v>
      </c>
      <c r="B50" s="42">
        <v>43272</v>
      </c>
      <c r="C50" s="83" t="s">
        <v>81</v>
      </c>
      <c r="D50" s="55">
        <v>17</v>
      </c>
      <c r="E50" s="56">
        <v>43269</v>
      </c>
      <c r="F50" s="57">
        <v>180</v>
      </c>
      <c r="G50" s="62">
        <f t="shared" si="2"/>
        <v>43449</v>
      </c>
      <c r="H50" s="63"/>
      <c r="I50" s="64">
        <f t="shared" ca="1" si="3"/>
        <v>24</v>
      </c>
      <c r="J50" s="44" t="s">
        <v>14</v>
      </c>
      <c r="K50" s="19"/>
    </row>
    <row r="51" spans="1:11" x14ac:dyDescent="0.25">
      <c r="A51" s="23">
        <v>46</v>
      </c>
      <c r="B51" s="42">
        <v>43276</v>
      </c>
      <c r="C51" s="83" t="s">
        <v>42</v>
      </c>
      <c r="D51" s="55">
        <v>16</v>
      </c>
      <c r="E51" s="56">
        <v>43269</v>
      </c>
      <c r="F51" s="57">
        <v>180</v>
      </c>
      <c r="G51" s="62">
        <f t="shared" si="2"/>
        <v>43449</v>
      </c>
      <c r="H51" s="63"/>
      <c r="I51" s="64">
        <f t="shared" ca="1" si="3"/>
        <v>24</v>
      </c>
      <c r="J51" s="44" t="s">
        <v>15</v>
      </c>
      <c r="K51" s="19"/>
    </row>
    <row r="52" spans="1:11" x14ac:dyDescent="0.25">
      <c r="A52" s="23">
        <v>47</v>
      </c>
      <c r="B52" s="42">
        <v>43278</v>
      </c>
      <c r="C52" s="83" t="s">
        <v>82</v>
      </c>
      <c r="D52" s="55">
        <v>154</v>
      </c>
      <c r="E52" s="56">
        <v>43269</v>
      </c>
      <c r="F52" s="57">
        <v>180</v>
      </c>
      <c r="G52" s="62">
        <f t="shared" si="2"/>
        <v>43449</v>
      </c>
      <c r="H52" s="63"/>
      <c r="I52" s="64">
        <f t="shared" ca="1" si="3"/>
        <v>24</v>
      </c>
      <c r="J52" s="44" t="s">
        <v>15</v>
      </c>
      <c r="K52" s="19"/>
    </row>
    <row r="53" spans="1:11" x14ac:dyDescent="0.25">
      <c r="A53" s="23">
        <v>48</v>
      </c>
      <c r="B53" s="42">
        <v>43278</v>
      </c>
      <c r="C53" s="83" t="s">
        <v>83</v>
      </c>
      <c r="D53" s="55">
        <v>10</v>
      </c>
      <c r="E53" s="56">
        <v>43270</v>
      </c>
      <c r="F53" s="57">
        <v>180</v>
      </c>
      <c r="G53" s="62">
        <f t="shared" si="2"/>
        <v>43450</v>
      </c>
      <c r="H53" s="63"/>
      <c r="I53" s="64">
        <f t="shared" ca="1" si="3"/>
        <v>25</v>
      </c>
      <c r="J53" s="44" t="s">
        <v>14</v>
      </c>
      <c r="K53" s="19"/>
    </row>
    <row r="54" spans="1:11" x14ac:dyDescent="0.25">
      <c r="A54" s="23">
        <v>49</v>
      </c>
      <c r="B54" s="42">
        <v>43279</v>
      </c>
      <c r="C54" s="83" t="s">
        <v>85</v>
      </c>
      <c r="D54" s="55">
        <v>4132</v>
      </c>
      <c r="E54" s="56">
        <v>43270</v>
      </c>
      <c r="F54" s="57">
        <v>180</v>
      </c>
      <c r="G54" s="62">
        <f t="shared" si="2"/>
        <v>43450</v>
      </c>
      <c r="H54" s="63"/>
      <c r="I54" s="64">
        <f t="shared" ca="1" si="3"/>
        <v>25</v>
      </c>
      <c r="J54" s="44" t="s">
        <v>15</v>
      </c>
      <c r="K54" s="19"/>
    </row>
    <row r="55" spans="1:11" x14ac:dyDescent="0.25">
      <c r="A55" s="23">
        <v>50</v>
      </c>
      <c r="B55" s="42">
        <v>43280</v>
      </c>
      <c r="C55" s="83" t="s">
        <v>86</v>
      </c>
      <c r="D55" s="55">
        <v>734</v>
      </c>
      <c r="E55" s="56">
        <v>43277</v>
      </c>
      <c r="F55" s="57">
        <v>180</v>
      </c>
      <c r="G55" s="62">
        <f t="shared" si="2"/>
        <v>43457</v>
      </c>
      <c r="H55" s="63"/>
      <c r="I55" s="64">
        <f t="shared" ca="1" si="3"/>
        <v>32</v>
      </c>
      <c r="J55" s="44" t="s">
        <v>15</v>
      </c>
      <c r="K55" s="19"/>
    </row>
    <row r="56" spans="1:11" x14ac:dyDescent="0.25">
      <c r="A56" s="23">
        <v>51</v>
      </c>
      <c r="B56" s="42">
        <v>43280</v>
      </c>
      <c r="C56" s="83" t="s">
        <v>87</v>
      </c>
      <c r="D56" s="55">
        <v>6884</v>
      </c>
      <c r="E56" s="56">
        <v>43270</v>
      </c>
      <c r="F56" s="57">
        <v>180</v>
      </c>
      <c r="G56" s="62">
        <f t="shared" si="2"/>
        <v>43450</v>
      </c>
      <c r="H56" s="63"/>
      <c r="I56" s="64">
        <f t="shared" ca="1" si="3"/>
        <v>25</v>
      </c>
      <c r="J56" s="44" t="s">
        <v>15</v>
      </c>
      <c r="K56" s="19"/>
    </row>
    <row r="57" spans="1:11" x14ac:dyDescent="0.25">
      <c r="A57" s="23">
        <v>52</v>
      </c>
      <c r="B57" s="42">
        <v>43280</v>
      </c>
      <c r="C57" s="87" t="s">
        <v>88</v>
      </c>
      <c r="D57" s="84">
        <v>271</v>
      </c>
      <c r="E57" s="85">
        <v>43270</v>
      </c>
      <c r="F57" s="86">
        <v>180</v>
      </c>
      <c r="G57" s="62">
        <f t="shared" si="2"/>
        <v>43450</v>
      </c>
      <c r="H57" s="63"/>
      <c r="I57" s="64">
        <f t="shared" ca="1" si="3"/>
        <v>25</v>
      </c>
      <c r="J57" s="44" t="s">
        <v>14</v>
      </c>
      <c r="K57" s="19"/>
    </row>
    <row r="58" spans="1:11" x14ac:dyDescent="0.25">
      <c r="A58" s="104">
        <v>53</v>
      </c>
      <c r="B58" s="107">
        <v>43285</v>
      </c>
      <c r="C58" s="101" t="s">
        <v>89</v>
      </c>
      <c r="D58" s="102">
        <v>39</v>
      </c>
      <c r="E58" s="111">
        <v>43277</v>
      </c>
      <c r="F58" s="112">
        <v>180</v>
      </c>
      <c r="G58" s="114">
        <f t="shared" si="2"/>
        <v>43457</v>
      </c>
      <c r="H58" s="109"/>
      <c r="I58" s="113">
        <f t="shared" ca="1" si="3"/>
        <v>32</v>
      </c>
      <c r="J58" s="110" t="s">
        <v>15</v>
      </c>
      <c r="K58" s="19"/>
    </row>
    <row r="59" spans="1:11" x14ac:dyDescent="0.25">
      <c r="A59" s="104">
        <v>54</v>
      </c>
      <c r="B59" s="107">
        <v>43285</v>
      </c>
      <c r="C59" s="101" t="s">
        <v>90</v>
      </c>
      <c r="D59" s="102">
        <v>12</v>
      </c>
      <c r="E59" s="111">
        <v>43255</v>
      </c>
      <c r="F59" s="112">
        <v>180</v>
      </c>
      <c r="G59" s="114">
        <f t="shared" si="2"/>
        <v>43435</v>
      </c>
      <c r="H59" s="109"/>
      <c r="I59" s="113">
        <f t="shared" ca="1" si="3"/>
        <v>10</v>
      </c>
      <c r="J59" s="110" t="s">
        <v>15</v>
      </c>
      <c r="K59" s="19"/>
    </row>
    <row r="60" spans="1:11" x14ac:dyDescent="0.25">
      <c r="A60" s="104">
        <v>55</v>
      </c>
      <c r="B60" s="107">
        <v>43285</v>
      </c>
      <c r="C60" s="100" t="s">
        <v>91</v>
      </c>
      <c r="D60" s="102">
        <v>3260</v>
      </c>
      <c r="E60" s="111">
        <v>43256</v>
      </c>
      <c r="F60" s="112">
        <v>180</v>
      </c>
      <c r="G60" s="114">
        <f t="shared" si="2"/>
        <v>43436</v>
      </c>
      <c r="H60" s="109"/>
      <c r="I60" s="113">
        <f t="shared" ca="1" si="3"/>
        <v>11</v>
      </c>
      <c r="J60" s="110" t="s">
        <v>15</v>
      </c>
      <c r="K60" s="19"/>
    </row>
    <row r="61" spans="1:11" x14ac:dyDescent="0.25">
      <c r="A61" s="23">
        <v>56</v>
      </c>
      <c r="B61" s="42">
        <v>43286</v>
      </c>
      <c r="C61" s="89" t="s">
        <v>92</v>
      </c>
      <c r="D61" s="55">
        <v>31</v>
      </c>
      <c r="E61" s="88">
        <v>43276</v>
      </c>
      <c r="F61" s="57">
        <v>180</v>
      </c>
      <c r="G61" s="62">
        <f t="shared" si="2"/>
        <v>43456</v>
      </c>
      <c r="H61" s="63"/>
      <c r="I61" s="64">
        <f t="shared" ca="1" si="3"/>
        <v>31</v>
      </c>
      <c r="J61" s="44" t="s">
        <v>15</v>
      </c>
      <c r="K61" s="19"/>
    </row>
    <row r="62" spans="1:11" x14ac:dyDescent="0.25">
      <c r="A62" s="23">
        <v>57</v>
      </c>
      <c r="B62" s="42">
        <v>43286</v>
      </c>
      <c r="C62" s="83" t="s">
        <v>94</v>
      </c>
      <c r="D62" s="55">
        <v>42</v>
      </c>
      <c r="E62" s="56">
        <v>43274</v>
      </c>
      <c r="F62" s="57">
        <v>180</v>
      </c>
      <c r="G62" s="62">
        <f t="shared" si="2"/>
        <v>43454</v>
      </c>
      <c r="H62" s="63"/>
      <c r="I62" s="64">
        <f t="shared" ca="1" si="3"/>
        <v>29</v>
      </c>
      <c r="J62" s="44" t="s">
        <v>14</v>
      </c>
      <c r="K62" s="19"/>
    </row>
    <row r="63" spans="1:11" x14ac:dyDescent="0.25">
      <c r="A63" s="23">
        <v>58</v>
      </c>
      <c r="B63" s="42">
        <v>43287</v>
      </c>
      <c r="C63" s="83" t="s">
        <v>95</v>
      </c>
      <c r="D63" s="55">
        <v>90</v>
      </c>
      <c r="E63" s="56">
        <v>43285</v>
      </c>
      <c r="F63" s="57">
        <v>180</v>
      </c>
      <c r="G63" s="62">
        <f t="shared" si="2"/>
        <v>43465</v>
      </c>
      <c r="H63" s="63"/>
      <c r="I63" s="64">
        <f t="shared" ca="1" si="3"/>
        <v>40</v>
      </c>
      <c r="J63" s="44" t="s">
        <v>15</v>
      </c>
      <c r="K63" s="19"/>
    </row>
    <row r="64" spans="1:11" x14ac:dyDescent="0.25">
      <c r="A64" s="23">
        <v>59</v>
      </c>
      <c r="B64" s="42">
        <v>43287</v>
      </c>
      <c r="C64" s="83" t="s">
        <v>96</v>
      </c>
      <c r="D64" s="55">
        <v>14</v>
      </c>
      <c r="E64" s="56">
        <v>43277</v>
      </c>
      <c r="F64" s="57">
        <v>180</v>
      </c>
      <c r="G64" s="62">
        <f t="shared" si="2"/>
        <v>43457</v>
      </c>
      <c r="H64" s="63"/>
      <c r="I64" s="64">
        <f t="shared" ca="1" si="3"/>
        <v>32</v>
      </c>
      <c r="J64" s="44" t="s">
        <v>15</v>
      </c>
      <c r="K64" s="19"/>
    </row>
    <row r="65" spans="1:11" x14ac:dyDescent="0.25">
      <c r="A65" s="23">
        <v>60</v>
      </c>
      <c r="B65" s="42">
        <v>43290</v>
      </c>
      <c r="C65" s="83" t="s">
        <v>23</v>
      </c>
      <c r="D65" s="55">
        <v>18</v>
      </c>
      <c r="E65" s="56">
        <v>43279</v>
      </c>
      <c r="F65" s="57">
        <v>180</v>
      </c>
      <c r="G65" s="62">
        <f t="shared" si="2"/>
        <v>43459</v>
      </c>
      <c r="H65" s="63"/>
      <c r="I65" s="64">
        <f t="shared" ca="1" si="3"/>
        <v>34</v>
      </c>
      <c r="J65" s="44" t="s">
        <v>15</v>
      </c>
      <c r="K65" s="19"/>
    </row>
    <row r="66" spans="1:11" x14ac:dyDescent="0.25">
      <c r="A66" s="23">
        <v>61</v>
      </c>
      <c r="B66" s="42">
        <v>43290</v>
      </c>
      <c r="C66" s="83" t="s">
        <v>97</v>
      </c>
      <c r="D66" s="55">
        <v>28</v>
      </c>
      <c r="E66" s="56">
        <v>43287</v>
      </c>
      <c r="F66" s="57">
        <v>180</v>
      </c>
      <c r="G66" s="62">
        <f t="shared" si="2"/>
        <v>43467</v>
      </c>
      <c r="H66" s="63"/>
      <c r="I66" s="64">
        <f t="shared" ca="1" si="3"/>
        <v>42</v>
      </c>
      <c r="J66" s="44" t="s">
        <v>15</v>
      </c>
      <c r="K66" s="19"/>
    </row>
    <row r="67" spans="1:11" x14ac:dyDescent="0.25">
      <c r="A67" s="23">
        <v>62</v>
      </c>
      <c r="B67" s="42">
        <v>43291</v>
      </c>
      <c r="C67" s="92" t="s">
        <v>93</v>
      </c>
      <c r="D67" s="55">
        <v>12</v>
      </c>
      <c r="E67" s="56">
        <v>43290</v>
      </c>
      <c r="F67" s="57">
        <v>180</v>
      </c>
      <c r="G67" s="62">
        <f t="shared" si="2"/>
        <v>43470</v>
      </c>
      <c r="H67" s="63"/>
      <c r="I67" s="64">
        <f t="shared" ca="1" si="3"/>
        <v>45</v>
      </c>
      <c r="J67" s="44" t="s">
        <v>14</v>
      </c>
      <c r="K67" s="19"/>
    </row>
    <row r="68" spans="1:11" x14ac:dyDescent="0.25">
      <c r="A68" s="23">
        <v>63</v>
      </c>
      <c r="B68" s="42">
        <v>43291</v>
      </c>
      <c r="C68" s="83" t="s">
        <v>98</v>
      </c>
      <c r="D68" s="55">
        <v>570</v>
      </c>
      <c r="E68" s="56">
        <v>43271</v>
      </c>
      <c r="F68" s="57">
        <v>180</v>
      </c>
      <c r="G68" s="62">
        <f t="shared" si="2"/>
        <v>43451</v>
      </c>
      <c r="H68" s="63"/>
      <c r="I68" s="64">
        <f t="shared" ca="1" si="3"/>
        <v>26</v>
      </c>
      <c r="J68" s="44" t="s">
        <v>15</v>
      </c>
      <c r="K68" s="19"/>
    </row>
    <row r="69" spans="1:11" x14ac:dyDescent="0.25">
      <c r="A69" s="23">
        <v>64</v>
      </c>
      <c r="B69" s="42">
        <v>43292</v>
      </c>
      <c r="C69" s="92" t="s">
        <v>99</v>
      </c>
      <c r="D69" s="55">
        <v>26</v>
      </c>
      <c r="E69" s="56">
        <v>43278</v>
      </c>
      <c r="F69" s="57">
        <v>180</v>
      </c>
      <c r="G69" s="62">
        <f t="shared" si="2"/>
        <v>43458</v>
      </c>
      <c r="H69" s="63"/>
      <c r="I69" s="64">
        <f t="shared" ca="1" si="3"/>
        <v>33</v>
      </c>
      <c r="J69" s="44" t="s">
        <v>15</v>
      </c>
      <c r="K69" s="19"/>
    </row>
    <row r="70" spans="1:11" x14ac:dyDescent="0.25">
      <c r="A70" s="23">
        <v>65</v>
      </c>
      <c r="B70" s="42">
        <v>43292</v>
      </c>
      <c r="C70" s="92" t="s">
        <v>100</v>
      </c>
      <c r="D70" s="55">
        <v>15</v>
      </c>
      <c r="E70" s="56">
        <v>43286</v>
      </c>
      <c r="F70" s="57">
        <v>180</v>
      </c>
      <c r="G70" s="62">
        <f t="shared" ref="G70:G101" si="4">E70+F70</f>
        <v>43466</v>
      </c>
      <c r="H70" s="63"/>
      <c r="I70" s="64">
        <f t="shared" ref="I70:I101" ca="1" si="5">IF(H70="",IF(G70="","",G70-TODAY()),IF(G70-H70&gt;0,CONCATENATE("CONCLUÍDO COM ",G70-H70,"DIAS DE ANTECEDÊNCIA"),IF(G70-H70&lt;0,CONCATENATE("CONCLUÍDO COM ",H70-G70," DIAS DE ATRASO"),"CONCLUÍDO NO PRAZO")))</f>
        <v>41</v>
      </c>
      <c r="J70" s="44" t="s">
        <v>15</v>
      </c>
      <c r="K70" s="19"/>
    </row>
    <row r="71" spans="1:11" x14ac:dyDescent="0.25">
      <c r="A71" s="23">
        <v>66</v>
      </c>
      <c r="B71" s="42">
        <v>43293</v>
      </c>
      <c r="C71" s="92" t="s">
        <v>20</v>
      </c>
      <c r="D71" s="55">
        <v>18</v>
      </c>
      <c r="E71" s="56">
        <v>43285</v>
      </c>
      <c r="F71" s="57">
        <v>180</v>
      </c>
      <c r="G71" s="62">
        <f t="shared" si="4"/>
        <v>43465</v>
      </c>
      <c r="H71" s="63"/>
      <c r="I71" s="64">
        <f t="shared" ca="1" si="5"/>
        <v>40</v>
      </c>
      <c r="J71" s="44" t="s">
        <v>15</v>
      </c>
      <c r="K71" s="19"/>
    </row>
    <row r="72" spans="1:11" x14ac:dyDescent="0.25">
      <c r="A72" s="23">
        <v>67</v>
      </c>
      <c r="B72" s="42">
        <v>43294</v>
      </c>
      <c r="C72" s="83" t="s">
        <v>101</v>
      </c>
      <c r="D72" s="55">
        <v>235</v>
      </c>
      <c r="E72" s="56">
        <v>43291</v>
      </c>
      <c r="F72" s="57">
        <v>180</v>
      </c>
      <c r="G72" s="91">
        <f t="shared" si="4"/>
        <v>43471</v>
      </c>
      <c r="H72" s="63"/>
      <c r="I72" s="64">
        <f t="shared" ca="1" si="5"/>
        <v>46</v>
      </c>
      <c r="J72" s="44" t="s">
        <v>14</v>
      </c>
      <c r="K72" s="19"/>
    </row>
    <row r="73" spans="1:11" x14ac:dyDescent="0.25">
      <c r="A73" s="23">
        <v>68</v>
      </c>
      <c r="B73" s="42">
        <v>43294</v>
      </c>
      <c r="C73" s="83" t="s">
        <v>102</v>
      </c>
      <c r="D73" s="55">
        <v>15</v>
      </c>
      <c r="E73" s="56">
        <v>43284</v>
      </c>
      <c r="F73" s="57">
        <v>180</v>
      </c>
      <c r="G73" s="91">
        <f t="shared" si="4"/>
        <v>43464</v>
      </c>
      <c r="H73" s="63"/>
      <c r="I73" s="64">
        <f t="shared" ca="1" si="5"/>
        <v>39</v>
      </c>
      <c r="J73" s="44" t="s">
        <v>15</v>
      </c>
      <c r="K73" s="19"/>
    </row>
    <row r="74" spans="1:11" x14ac:dyDescent="0.25">
      <c r="A74" s="104">
        <v>69</v>
      </c>
      <c r="B74" s="107">
        <v>43298</v>
      </c>
      <c r="C74" s="100" t="s">
        <v>41</v>
      </c>
      <c r="D74" s="102">
        <v>3493</v>
      </c>
      <c r="E74" s="111">
        <v>43255</v>
      </c>
      <c r="F74" s="112">
        <v>180</v>
      </c>
      <c r="G74" s="108">
        <f t="shared" si="4"/>
        <v>43435</v>
      </c>
      <c r="H74" s="109"/>
      <c r="I74" s="113">
        <f t="shared" ca="1" si="5"/>
        <v>10</v>
      </c>
      <c r="J74" s="110" t="s">
        <v>15</v>
      </c>
      <c r="K74" s="19"/>
    </row>
    <row r="75" spans="1:11" x14ac:dyDescent="0.25">
      <c r="A75" s="23">
        <v>70</v>
      </c>
      <c r="B75" s="42">
        <v>43299</v>
      </c>
      <c r="C75" s="83" t="s">
        <v>40</v>
      </c>
      <c r="D75" s="55">
        <v>1876</v>
      </c>
      <c r="E75" s="56">
        <v>43297</v>
      </c>
      <c r="F75" s="57">
        <v>180</v>
      </c>
      <c r="G75" s="91">
        <f t="shared" si="4"/>
        <v>43477</v>
      </c>
      <c r="H75" s="63"/>
      <c r="I75" s="64">
        <f t="shared" ca="1" si="5"/>
        <v>52</v>
      </c>
      <c r="J75" s="44" t="s">
        <v>15</v>
      </c>
      <c r="K75" s="19"/>
    </row>
    <row r="76" spans="1:11" x14ac:dyDescent="0.25">
      <c r="A76" s="23">
        <v>71</v>
      </c>
      <c r="B76" s="42">
        <v>43299</v>
      </c>
      <c r="C76" s="83" t="s">
        <v>103</v>
      </c>
      <c r="D76" s="55">
        <v>71</v>
      </c>
      <c r="E76" s="56">
        <v>43290</v>
      </c>
      <c r="F76" s="57">
        <v>180</v>
      </c>
      <c r="G76" s="91">
        <f t="shared" si="4"/>
        <v>43470</v>
      </c>
      <c r="H76" s="63"/>
      <c r="I76" s="64">
        <f t="shared" ca="1" si="5"/>
        <v>45</v>
      </c>
      <c r="J76" s="44" t="s">
        <v>15</v>
      </c>
      <c r="K76" s="19"/>
    </row>
    <row r="77" spans="1:11" x14ac:dyDescent="0.25">
      <c r="A77" s="23">
        <v>72</v>
      </c>
      <c r="B77" s="42">
        <v>43299</v>
      </c>
      <c r="C77" s="83" t="s">
        <v>104</v>
      </c>
      <c r="D77" s="55">
        <v>179</v>
      </c>
      <c r="E77" s="56">
        <v>43297</v>
      </c>
      <c r="F77" s="57">
        <v>180</v>
      </c>
      <c r="G77" s="91">
        <f t="shared" si="4"/>
        <v>43477</v>
      </c>
      <c r="H77" s="63"/>
      <c r="I77" s="64">
        <f t="shared" ca="1" si="5"/>
        <v>52</v>
      </c>
      <c r="J77" s="44" t="s">
        <v>14</v>
      </c>
      <c r="K77" s="19"/>
    </row>
    <row r="78" spans="1:11" x14ac:dyDescent="0.25">
      <c r="A78" s="23">
        <v>73</v>
      </c>
      <c r="B78" s="42">
        <v>43299</v>
      </c>
      <c r="C78" s="83" t="s">
        <v>71</v>
      </c>
      <c r="D78" s="55">
        <v>3717</v>
      </c>
      <c r="E78" s="56">
        <v>43297</v>
      </c>
      <c r="F78" s="57">
        <v>180</v>
      </c>
      <c r="G78" s="91">
        <f t="shared" si="4"/>
        <v>43477</v>
      </c>
      <c r="H78" s="63"/>
      <c r="I78" s="64">
        <f t="shared" ca="1" si="5"/>
        <v>52</v>
      </c>
      <c r="J78" s="44" t="s">
        <v>15</v>
      </c>
      <c r="K78" s="19"/>
    </row>
    <row r="79" spans="1:11" x14ac:dyDescent="0.25">
      <c r="A79" s="23">
        <v>74</v>
      </c>
      <c r="B79" s="42">
        <v>43301</v>
      </c>
      <c r="C79" s="83" t="s">
        <v>105</v>
      </c>
      <c r="D79" s="55">
        <v>38</v>
      </c>
      <c r="E79" s="56">
        <v>43290</v>
      </c>
      <c r="F79" s="57">
        <v>180</v>
      </c>
      <c r="G79" s="91">
        <f t="shared" si="4"/>
        <v>43470</v>
      </c>
      <c r="H79" s="63"/>
      <c r="I79" s="64">
        <f t="shared" ca="1" si="5"/>
        <v>45</v>
      </c>
      <c r="J79" s="44" t="s">
        <v>15</v>
      </c>
      <c r="K79" s="19"/>
    </row>
    <row r="80" spans="1:11" x14ac:dyDescent="0.25">
      <c r="A80" s="23">
        <v>75</v>
      </c>
      <c r="B80" s="42">
        <v>43314</v>
      </c>
      <c r="C80" s="83" t="s">
        <v>106</v>
      </c>
      <c r="D80" s="55">
        <v>26</v>
      </c>
      <c r="E80" s="56">
        <v>43290</v>
      </c>
      <c r="F80" s="57">
        <v>180</v>
      </c>
      <c r="G80" s="91">
        <f t="shared" si="4"/>
        <v>43470</v>
      </c>
      <c r="H80" s="63"/>
      <c r="I80" s="64">
        <f t="shared" ca="1" si="5"/>
        <v>45</v>
      </c>
      <c r="J80" s="44" t="s">
        <v>15</v>
      </c>
      <c r="K80" s="19"/>
    </row>
    <row r="81" spans="1:12" x14ac:dyDescent="0.25">
      <c r="A81" s="23">
        <v>76</v>
      </c>
      <c r="B81" s="42">
        <v>43314</v>
      </c>
      <c r="C81" s="83" t="s">
        <v>107</v>
      </c>
      <c r="D81" s="55">
        <v>24</v>
      </c>
      <c r="E81" s="56">
        <v>43292</v>
      </c>
      <c r="F81" s="57">
        <v>180</v>
      </c>
      <c r="G81" s="91">
        <f t="shared" si="4"/>
        <v>43472</v>
      </c>
      <c r="H81" s="63"/>
      <c r="I81" s="64">
        <f t="shared" ca="1" si="5"/>
        <v>47</v>
      </c>
      <c r="J81" s="44" t="s">
        <v>15</v>
      </c>
      <c r="K81" s="19"/>
    </row>
    <row r="82" spans="1:12" x14ac:dyDescent="0.25">
      <c r="A82" s="99">
        <v>77</v>
      </c>
      <c r="B82" s="42">
        <v>43314</v>
      </c>
      <c r="C82" s="83" t="s">
        <v>90</v>
      </c>
      <c r="D82" s="55">
        <v>16</v>
      </c>
      <c r="E82" s="56">
        <v>43277</v>
      </c>
      <c r="F82" s="57">
        <v>180</v>
      </c>
      <c r="G82" s="91">
        <f t="shared" si="4"/>
        <v>43457</v>
      </c>
      <c r="H82" s="63"/>
      <c r="I82" s="64">
        <f t="shared" ca="1" si="5"/>
        <v>32</v>
      </c>
      <c r="J82" s="44" t="s">
        <v>15</v>
      </c>
      <c r="K82" s="19"/>
    </row>
    <row r="83" spans="1:12" x14ac:dyDescent="0.25">
      <c r="A83" s="99">
        <v>78</v>
      </c>
      <c r="B83" s="42">
        <v>43314</v>
      </c>
      <c r="C83" s="83" t="s">
        <v>89</v>
      </c>
      <c r="D83" s="55">
        <v>3282</v>
      </c>
      <c r="E83" s="56">
        <v>43300</v>
      </c>
      <c r="F83" s="57">
        <v>180</v>
      </c>
      <c r="G83" s="91">
        <f t="shared" si="4"/>
        <v>43480</v>
      </c>
      <c r="H83" s="63"/>
      <c r="I83" s="64">
        <f t="shared" ca="1" si="5"/>
        <v>55</v>
      </c>
      <c r="J83" s="44" t="s">
        <v>15</v>
      </c>
      <c r="K83" s="19"/>
    </row>
    <row r="84" spans="1:12" x14ac:dyDescent="0.25">
      <c r="A84" s="23">
        <v>79</v>
      </c>
      <c r="B84" s="42">
        <v>43314</v>
      </c>
      <c r="C84" s="83" t="s">
        <v>35</v>
      </c>
      <c r="D84" s="55">
        <v>55</v>
      </c>
      <c r="E84" s="56">
        <v>43304</v>
      </c>
      <c r="F84" s="57">
        <v>180</v>
      </c>
      <c r="G84" s="91">
        <f t="shared" si="4"/>
        <v>43484</v>
      </c>
      <c r="H84" s="63"/>
      <c r="I84" s="64">
        <f t="shared" ca="1" si="5"/>
        <v>59</v>
      </c>
      <c r="J84" s="44" t="s">
        <v>15</v>
      </c>
      <c r="K84" s="19"/>
    </row>
    <row r="85" spans="1:12" x14ac:dyDescent="0.25">
      <c r="A85" s="23">
        <v>80</v>
      </c>
      <c r="B85" s="42">
        <v>43314</v>
      </c>
      <c r="C85" s="83" t="s">
        <v>19</v>
      </c>
      <c r="D85" s="55">
        <v>44</v>
      </c>
      <c r="E85" s="56">
        <v>43304</v>
      </c>
      <c r="F85" s="57">
        <v>180</v>
      </c>
      <c r="G85" s="91">
        <f t="shared" si="4"/>
        <v>43484</v>
      </c>
      <c r="H85" s="63"/>
      <c r="I85" s="64">
        <f t="shared" ca="1" si="5"/>
        <v>59</v>
      </c>
      <c r="J85" s="44" t="s">
        <v>15</v>
      </c>
      <c r="K85" s="19"/>
    </row>
    <row r="86" spans="1:12" x14ac:dyDescent="0.25">
      <c r="A86" s="99">
        <v>81</v>
      </c>
      <c r="B86" s="42">
        <v>43314</v>
      </c>
      <c r="C86" s="83" t="s">
        <v>91</v>
      </c>
      <c r="D86" s="55">
        <v>45</v>
      </c>
      <c r="E86" s="56">
        <v>43312</v>
      </c>
      <c r="F86" s="57">
        <v>180</v>
      </c>
      <c r="G86" s="91">
        <f t="shared" si="4"/>
        <v>43492</v>
      </c>
      <c r="H86" s="63"/>
      <c r="I86" s="64">
        <f t="shared" ca="1" si="5"/>
        <v>67</v>
      </c>
      <c r="J86" s="44" t="s">
        <v>15</v>
      </c>
      <c r="K86" s="19"/>
    </row>
    <row r="87" spans="1:12" x14ac:dyDescent="0.25">
      <c r="A87" s="104">
        <v>82</v>
      </c>
      <c r="B87" s="107">
        <v>43314</v>
      </c>
      <c r="C87" s="100" t="s">
        <v>108</v>
      </c>
      <c r="D87" s="102">
        <v>32</v>
      </c>
      <c r="E87" s="111">
        <v>43283</v>
      </c>
      <c r="F87" s="112">
        <v>180</v>
      </c>
      <c r="G87" s="108">
        <f t="shared" si="4"/>
        <v>43463</v>
      </c>
      <c r="H87" s="109"/>
      <c r="I87" s="113">
        <f t="shared" ca="1" si="5"/>
        <v>38</v>
      </c>
      <c r="J87" s="110" t="s">
        <v>15</v>
      </c>
      <c r="K87" s="19"/>
    </row>
    <row r="88" spans="1:12" x14ac:dyDescent="0.25">
      <c r="A88" s="23">
        <v>83</v>
      </c>
      <c r="B88" s="42">
        <v>43314</v>
      </c>
      <c r="C88" s="83" t="s">
        <v>109</v>
      </c>
      <c r="D88" s="55">
        <v>28</v>
      </c>
      <c r="E88" s="56">
        <v>43306</v>
      </c>
      <c r="F88" s="57">
        <v>180</v>
      </c>
      <c r="G88" s="91">
        <f t="shared" si="4"/>
        <v>43486</v>
      </c>
      <c r="H88" s="63"/>
      <c r="I88" s="64">
        <f t="shared" ca="1" si="5"/>
        <v>61</v>
      </c>
      <c r="J88" s="44" t="s">
        <v>15</v>
      </c>
      <c r="K88" s="19"/>
    </row>
    <row r="89" spans="1:12" x14ac:dyDescent="0.25">
      <c r="A89" s="99">
        <v>84</v>
      </c>
      <c r="B89" s="42">
        <v>43314</v>
      </c>
      <c r="C89" s="83" t="s">
        <v>74</v>
      </c>
      <c r="D89" s="55">
        <v>2138</v>
      </c>
      <c r="E89" s="56">
        <v>43306</v>
      </c>
      <c r="F89" s="57">
        <v>180</v>
      </c>
      <c r="G89" s="91">
        <f t="shared" si="4"/>
        <v>43486</v>
      </c>
      <c r="H89" s="63"/>
      <c r="I89" s="64">
        <f t="shared" ca="1" si="5"/>
        <v>61</v>
      </c>
      <c r="J89" s="44" t="s">
        <v>15</v>
      </c>
      <c r="K89" s="19"/>
    </row>
    <row r="90" spans="1:12" x14ac:dyDescent="0.25">
      <c r="A90" s="99">
        <v>85</v>
      </c>
      <c r="B90" s="42">
        <v>43314</v>
      </c>
      <c r="C90" s="83" t="s">
        <v>76</v>
      </c>
      <c r="D90" s="55">
        <v>319</v>
      </c>
      <c r="E90" s="56">
        <v>43313</v>
      </c>
      <c r="F90" s="57">
        <v>180</v>
      </c>
      <c r="G90" s="91">
        <f t="shared" si="4"/>
        <v>43493</v>
      </c>
      <c r="H90" s="63"/>
      <c r="I90" s="64">
        <f t="shared" ca="1" si="5"/>
        <v>68</v>
      </c>
      <c r="J90" s="44" t="s">
        <v>14</v>
      </c>
      <c r="K90" s="96" t="s">
        <v>14</v>
      </c>
      <c r="L90" s="93"/>
    </row>
    <row r="91" spans="1:12" x14ac:dyDescent="0.25">
      <c r="A91" s="23">
        <v>86</v>
      </c>
      <c r="B91" s="42">
        <v>43314</v>
      </c>
      <c r="C91" s="83" t="s">
        <v>110</v>
      </c>
      <c r="D91" s="55">
        <v>78</v>
      </c>
      <c r="E91" s="56">
        <v>43292</v>
      </c>
      <c r="F91" s="57">
        <v>180</v>
      </c>
      <c r="G91" s="91">
        <f t="shared" si="4"/>
        <v>43472</v>
      </c>
      <c r="H91" s="63"/>
      <c r="I91" s="64">
        <f t="shared" ca="1" si="5"/>
        <v>47</v>
      </c>
      <c r="J91" s="44" t="s">
        <v>14</v>
      </c>
      <c r="K91" s="19"/>
    </row>
    <row r="92" spans="1:12" x14ac:dyDescent="0.25">
      <c r="A92" s="23">
        <v>87</v>
      </c>
      <c r="B92" s="42">
        <v>43315</v>
      </c>
      <c r="C92" s="83" t="s">
        <v>118</v>
      </c>
      <c r="D92" s="55">
        <v>481</v>
      </c>
      <c r="E92" s="56">
        <v>43301</v>
      </c>
      <c r="F92" s="57">
        <v>180</v>
      </c>
      <c r="G92" s="91">
        <f t="shared" si="4"/>
        <v>43481</v>
      </c>
      <c r="H92" s="63"/>
      <c r="I92" s="64">
        <f t="shared" ca="1" si="5"/>
        <v>56</v>
      </c>
      <c r="J92" s="44" t="s">
        <v>15</v>
      </c>
      <c r="K92" s="19"/>
    </row>
    <row r="93" spans="1:12" x14ac:dyDescent="0.25">
      <c r="A93" s="23">
        <v>88</v>
      </c>
      <c r="B93" s="42">
        <v>43319</v>
      </c>
      <c r="C93" s="83" t="s">
        <v>119</v>
      </c>
      <c r="D93" s="55">
        <v>50</v>
      </c>
      <c r="E93" s="56">
        <v>43305</v>
      </c>
      <c r="F93" s="57">
        <v>180</v>
      </c>
      <c r="G93" s="91">
        <f t="shared" si="4"/>
        <v>43485</v>
      </c>
      <c r="H93" s="63"/>
      <c r="I93" s="64">
        <f t="shared" ca="1" si="5"/>
        <v>60</v>
      </c>
      <c r="J93" s="44" t="s">
        <v>15</v>
      </c>
      <c r="K93" s="19"/>
    </row>
    <row r="94" spans="1:12" x14ac:dyDescent="0.25">
      <c r="A94" s="99">
        <v>89</v>
      </c>
      <c r="B94" s="42">
        <v>43319</v>
      </c>
      <c r="C94" s="83" t="s">
        <v>44</v>
      </c>
      <c r="D94" s="55">
        <v>27</v>
      </c>
      <c r="E94" s="56">
        <v>43318</v>
      </c>
      <c r="F94" s="57">
        <v>180</v>
      </c>
      <c r="G94" s="91">
        <f t="shared" si="4"/>
        <v>43498</v>
      </c>
      <c r="H94" s="63"/>
      <c r="I94" s="64">
        <f t="shared" ca="1" si="5"/>
        <v>73</v>
      </c>
      <c r="J94" s="44" t="s">
        <v>15</v>
      </c>
      <c r="K94" s="19"/>
    </row>
    <row r="95" spans="1:12" x14ac:dyDescent="0.25">
      <c r="A95" s="23">
        <v>90</v>
      </c>
      <c r="B95" s="42">
        <v>43325</v>
      </c>
      <c r="C95" s="83" t="s">
        <v>43</v>
      </c>
      <c r="D95" s="55">
        <v>951</v>
      </c>
      <c r="E95" s="56">
        <v>43315</v>
      </c>
      <c r="F95" s="57">
        <v>180</v>
      </c>
      <c r="G95" s="91">
        <f t="shared" si="4"/>
        <v>43495</v>
      </c>
      <c r="H95" s="63"/>
      <c r="I95" s="64">
        <f t="shared" ca="1" si="5"/>
        <v>70</v>
      </c>
      <c r="J95" s="44" t="s">
        <v>14</v>
      </c>
      <c r="K95" s="19"/>
    </row>
    <row r="96" spans="1:12" x14ac:dyDescent="0.25">
      <c r="A96" s="23">
        <v>91</v>
      </c>
      <c r="B96" s="42">
        <v>43325</v>
      </c>
      <c r="C96" s="83" t="s">
        <v>120</v>
      </c>
      <c r="D96" s="55">
        <v>16</v>
      </c>
      <c r="E96" s="56">
        <v>43312</v>
      </c>
      <c r="F96" s="57">
        <v>180</v>
      </c>
      <c r="G96" s="91">
        <f t="shared" si="4"/>
        <v>43492</v>
      </c>
      <c r="H96" s="63"/>
      <c r="I96" s="64">
        <f t="shared" ca="1" si="5"/>
        <v>67</v>
      </c>
      <c r="J96" s="44" t="s">
        <v>15</v>
      </c>
      <c r="K96" s="19"/>
    </row>
    <row r="97" spans="1:11" x14ac:dyDescent="0.25">
      <c r="A97" s="99">
        <v>92</v>
      </c>
      <c r="B97" s="42">
        <v>43325</v>
      </c>
      <c r="C97" s="83" t="s">
        <v>41</v>
      </c>
      <c r="D97" s="55">
        <v>3502</v>
      </c>
      <c r="E97" s="56">
        <v>43313</v>
      </c>
      <c r="F97" s="57">
        <v>180</v>
      </c>
      <c r="G97" s="91">
        <f t="shared" si="4"/>
        <v>43493</v>
      </c>
      <c r="H97" s="63"/>
      <c r="I97" s="64">
        <f t="shared" ca="1" si="5"/>
        <v>68</v>
      </c>
      <c r="J97" s="44" t="s">
        <v>15</v>
      </c>
      <c r="K97" s="19"/>
    </row>
    <row r="98" spans="1:11" x14ac:dyDescent="0.25">
      <c r="A98" s="99">
        <v>93</v>
      </c>
      <c r="B98" s="42">
        <v>43326</v>
      </c>
      <c r="C98" s="97" t="s">
        <v>108</v>
      </c>
      <c r="D98" s="55">
        <v>38</v>
      </c>
      <c r="E98" s="56">
        <v>43320</v>
      </c>
      <c r="F98" s="57">
        <v>90</v>
      </c>
      <c r="G98" s="91">
        <f t="shared" si="4"/>
        <v>43410</v>
      </c>
      <c r="H98" s="63"/>
      <c r="I98" s="64">
        <f t="shared" ca="1" si="5"/>
        <v>-15</v>
      </c>
      <c r="J98" s="44" t="s">
        <v>15</v>
      </c>
      <c r="K98" s="19"/>
    </row>
    <row r="99" spans="1:11" x14ac:dyDescent="0.25">
      <c r="A99" s="23">
        <v>94</v>
      </c>
      <c r="B99" s="42">
        <v>43328</v>
      </c>
      <c r="C99" s="97" t="s">
        <v>122</v>
      </c>
      <c r="D99" s="55">
        <v>48</v>
      </c>
      <c r="E99" s="56">
        <v>43325</v>
      </c>
      <c r="F99" s="57">
        <v>180</v>
      </c>
      <c r="G99" s="91">
        <f t="shared" si="4"/>
        <v>43505</v>
      </c>
      <c r="H99" s="63"/>
      <c r="I99" s="64">
        <f t="shared" ca="1" si="5"/>
        <v>80</v>
      </c>
      <c r="J99" s="44" t="s">
        <v>15</v>
      </c>
      <c r="K99" s="19"/>
    </row>
    <row r="100" spans="1:11" x14ac:dyDescent="0.25">
      <c r="A100" s="99">
        <v>95</v>
      </c>
      <c r="B100" s="42">
        <v>43328</v>
      </c>
      <c r="C100" s="97" t="s">
        <v>63</v>
      </c>
      <c r="D100" s="55">
        <v>54</v>
      </c>
      <c r="E100" s="56">
        <v>43315</v>
      </c>
      <c r="F100" s="57">
        <v>180</v>
      </c>
      <c r="G100" s="91">
        <f t="shared" si="4"/>
        <v>43495</v>
      </c>
      <c r="H100" s="63"/>
      <c r="I100" s="64">
        <f t="shared" ca="1" si="5"/>
        <v>70</v>
      </c>
      <c r="J100" s="44" t="s">
        <v>15</v>
      </c>
      <c r="K100" s="19"/>
    </row>
    <row r="101" spans="1:11" x14ac:dyDescent="0.25">
      <c r="A101" s="23">
        <v>96</v>
      </c>
      <c r="B101" s="42">
        <v>43328</v>
      </c>
      <c r="C101" s="97" t="s">
        <v>123</v>
      </c>
      <c r="D101" s="55">
        <v>713</v>
      </c>
      <c r="E101" s="56">
        <v>43321</v>
      </c>
      <c r="F101" s="57">
        <v>180</v>
      </c>
      <c r="G101" s="91">
        <f t="shared" si="4"/>
        <v>43501</v>
      </c>
      <c r="H101" s="63"/>
      <c r="I101" s="64">
        <f t="shared" ca="1" si="5"/>
        <v>76</v>
      </c>
      <c r="J101" s="44" t="s">
        <v>15</v>
      </c>
      <c r="K101" s="19"/>
    </row>
    <row r="102" spans="1:11" x14ac:dyDescent="0.25">
      <c r="K102" s="19"/>
    </row>
    <row r="103" spans="1:11" x14ac:dyDescent="0.25">
      <c r="A103" s="239">
        <v>43328</v>
      </c>
      <c r="B103" s="239"/>
      <c r="C103" s="239"/>
      <c r="D103" s="239"/>
      <c r="E103" s="239"/>
      <c r="F103" s="239"/>
      <c r="G103" s="239"/>
      <c r="H103" s="239"/>
      <c r="I103" s="239"/>
      <c r="J103" s="239"/>
      <c r="K103" s="19"/>
    </row>
    <row r="104" spans="1:11" x14ac:dyDescent="0.25">
      <c r="K104" s="19"/>
    </row>
    <row r="105" spans="1:11" x14ac:dyDescent="0.25">
      <c r="B105" s="20" t="s">
        <v>11</v>
      </c>
      <c r="C105" s="21"/>
      <c r="D105" s="20"/>
      <c r="E105" s="20"/>
      <c r="F105" s="20"/>
      <c r="K105" s="19"/>
    </row>
    <row r="107" spans="1:11" x14ac:dyDescent="0.25">
      <c r="C107" s="24" t="s">
        <v>16</v>
      </c>
      <c r="D107" s="24">
        <f>COUNTIF(J6:J104, "seca")</f>
        <v>19</v>
      </c>
    </row>
    <row r="108" spans="1:11" x14ac:dyDescent="0.25">
      <c r="C108" s="24" t="s">
        <v>17</v>
      </c>
      <c r="D108" s="24">
        <f>COUNTIF(J6:J104, "estiagem")</f>
        <v>77</v>
      </c>
      <c r="F108" t="s">
        <v>13</v>
      </c>
    </row>
    <row r="109" spans="1:11" x14ac:dyDescent="0.25">
      <c r="C109" s="25" t="s">
        <v>84</v>
      </c>
      <c r="D109" s="25">
        <f>SUM(D107:D108)</f>
        <v>96</v>
      </c>
      <c r="K109" s="3"/>
    </row>
    <row r="111" spans="1:11" x14ac:dyDescent="0.25">
      <c r="C111" s="95" t="s">
        <v>124</v>
      </c>
    </row>
    <row r="112" spans="1:11" ht="17.25" x14ac:dyDescent="0.3">
      <c r="D112" s="90"/>
    </row>
    <row r="113" spans="3:3" x14ac:dyDescent="0.25">
      <c r="C113" s="63" t="s">
        <v>111</v>
      </c>
    </row>
    <row r="114" spans="3:3" x14ac:dyDescent="0.25">
      <c r="C114" s="63" t="s">
        <v>112</v>
      </c>
    </row>
    <row r="115" spans="3:3" x14ac:dyDescent="0.25">
      <c r="C115" s="63" t="s">
        <v>113</v>
      </c>
    </row>
    <row r="116" spans="3:3" x14ac:dyDescent="0.25">
      <c r="C116" s="63" t="s">
        <v>114</v>
      </c>
    </row>
    <row r="117" spans="3:3" x14ac:dyDescent="0.25">
      <c r="C117" s="63" t="s">
        <v>115</v>
      </c>
    </row>
    <row r="118" spans="3:3" x14ac:dyDescent="0.25">
      <c r="C118" s="63" t="s">
        <v>116</v>
      </c>
    </row>
    <row r="119" spans="3:3" x14ac:dyDescent="0.25">
      <c r="C119" s="98" t="s">
        <v>121</v>
      </c>
    </row>
    <row r="121" spans="3:3" x14ac:dyDescent="0.25">
      <c r="C121" s="94" t="s">
        <v>117</v>
      </c>
    </row>
  </sheetData>
  <mergeCells count="9">
    <mergeCell ref="A103:J103"/>
    <mergeCell ref="A1:J1"/>
    <mergeCell ref="A3:A5"/>
    <mergeCell ref="B3:B5"/>
    <mergeCell ref="C3:C5"/>
    <mergeCell ref="D3:F4"/>
    <mergeCell ref="G3:G5"/>
    <mergeCell ref="I3:I5"/>
    <mergeCell ref="J3:J5"/>
  </mergeCells>
  <conditionalFormatting sqref="I34:I37 I6:I32 I39:I67 I69:I101">
    <cfRule type="colorScale" priority="29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34:I37 I6:I32 I39:I67 I69:I101">
    <cfRule type="colorScale" priority="28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34:I37 I6:I32 I39:I67 I69:I101">
    <cfRule type="colorScale" priority="30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31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32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34:I37 I6:I32 I39:I67 I69:I101">
    <cfRule type="colorScale" priority="33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34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35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36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33">
    <cfRule type="colorScale" priority="20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33">
    <cfRule type="colorScale" priority="19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33">
    <cfRule type="colorScale" priority="21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22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3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33">
    <cfRule type="colorScale" priority="24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25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26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27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38">
    <cfRule type="colorScale" priority="11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38">
    <cfRule type="colorScale" priority="10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38">
    <cfRule type="colorScale" priority="12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13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4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38">
    <cfRule type="colorScale" priority="15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16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17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18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conditionalFormatting sqref="I68">
    <cfRule type="colorScale" priority="2">
      <colorScale>
        <cfvo type="num" val="0"/>
        <cfvo type="num" val="8"/>
        <cfvo type="num" val="9"/>
        <color rgb="FFF8696B"/>
        <color rgb="FFFFEB84"/>
        <color rgb="FF63BE7B"/>
      </colorScale>
    </cfRule>
  </conditionalFormatting>
  <conditionalFormatting sqref="I68">
    <cfRule type="colorScale" priority="1">
      <colorScale>
        <cfvo type="num" val="-1"/>
        <cfvo type="num" val="8"/>
        <cfvo type="num" val="9"/>
        <color rgb="FFC00000"/>
        <color rgb="FFFFFF00"/>
        <color rgb="FF00B050"/>
      </colorScale>
    </cfRule>
  </conditionalFormatting>
  <conditionalFormatting sqref="I68">
    <cfRule type="colorScale" priority="3">
      <colorScale>
        <cfvo type="num" val="-1"/>
        <cfvo type="num" val="8"/>
        <cfvo type="max"/>
        <color rgb="FFC00000"/>
        <color rgb="FFFFE253"/>
        <color theme="6" tint="-0.249977111117893"/>
      </colorScale>
    </cfRule>
    <cfRule type="colorScale" priority="4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5">
      <colorScale>
        <cfvo type="num" val="0"/>
        <cfvo type="num" val="7"/>
        <cfvo type="max"/>
        <color rgb="FFFF6600"/>
        <color rgb="FFFFEB84"/>
        <color theme="6" tint="-0.249977111117893"/>
      </colorScale>
    </cfRule>
  </conditionalFormatting>
  <conditionalFormatting sqref="I68">
    <cfRule type="colorScale" priority="6">
      <colorScale>
        <cfvo type="num" val="0"/>
        <cfvo type="num" val="8"/>
        <cfvo type="max"/>
        <color rgb="FFF8696B"/>
        <color rgb="FFFFEB84"/>
        <color rgb="FF63BE7B"/>
      </colorScale>
    </cfRule>
    <cfRule type="colorScale" priority="7">
      <colorScale>
        <cfvo type="num" val="-1"/>
        <cfvo type="num" val="8"/>
        <cfvo type="max"/>
        <color rgb="FFF8696B"/>
        <color rgb="FFFFEB84"/>
        <color rgb="FF63BE7B"/>
      </colorScale>
    </cfRule>
    <cfRule type="colorScale" priority="8">
      <colorScale>
        <cfvo type="num" val="-1"/>
        <cfvo type="num" val="8"/>
        <cfvo type="formula" val="&quot;&gt;8&quot;"/>
        <color rgb="FFEF0B10"/>
        <color rgb="FFFFFF00"/>
        <color theme="6" tint="-0.249977111117893"/>
      </colorScale>
    </cfRule>
    <cfRule type="colorScale" priority="9">
      <colorScale>
        <cfvo type="num" val="-1"/>
        <cfvo type="percentile" val="50"/>
        <cfvo type="max"/>
        <color rgb="FFEF0B10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E113"/>
  <sheetViews>
    <sheetView topLeftCell="A52" workbookViewId="0">
      <selection activeCell="D57" sqref="D57:E58"/>
    </sheetView>
  </sheetViews>
  <sheetFormatPr defaultRowHeight="15" x14ac:dyDescent="0.25"/>
  <cols>
    <col min="5" max="5" width="28.28515625" bestFit="1" customWidth="1"/>
  </cols>
  <sheetData>
    <row r="1" spans="5:5" x14ac:dyDescent="0.25">
      <c r="E1" s="192"/>
    </row>
    <row r="2" spans="5:5" x14ac:dyDescent="0.25">
      <c r="E2" s="92" t="s">
        <v>50</v>
      </c>
    </row>
    <row r="3" spans="5:5" x14ac:dyDescent="0.25">
      <c r="E3" s="92" t="s">
        <v>26</v>
      </c>
    </row>
    <row r="4" spans="5:5" x14ac:dyDescent="0.25">
      <c r="E4" s="92" t="s">
        <v>126</v>
      </c>
    </row>
    <row r="5" spans="5:5" x14ac:dyDescent="0.25">
      <c r="E5" s="92" t="s">
        <v>55</v>
      </c>
    </row>
    <row r="6" spans="5:5" x14ac:dyDescent="0.25">
      <c r="E6" s="83" t="s">
        <v>107</v>
      </c>
    </row>
    <row r="7" spans="5:5" x14ac:dyDescent="0.25">
      <c r="E7" s="123" t="s">
        <v>163</v>
      </c>
    </row>
    <row r="8" spans="5:5" x14ac:dyDescent="0.25">
      <c r="E8" s="83" t="s">
        <v>63</v>
      </c>
    </row>
    <row r="9" spans="5:5" x14ac:dyDescent="0.25">
      <c r="E9" s="83" t="s">
        <v>87</v>
      </c>
    </row>
    <row r="10" spans="5:5" x14ac:dyDescent="0.25">
      <c r="E10" s="92" t="s">
        <v>38</v>
      </c>
    </row>
    <row r="11" spans="5:5" x14ac:dyDescent="0.25">
      <c r="E11" s="92" t="s">
        <v>21</v>
      </c>
    </row>
    <row r="12" spans="5:5" x14ac:dyDescent="0.25">
      <c r="E12" s="81" t="s">
        <v>41</v>
      </c>
    </row>
    <row r="13" spans="5:5" x14ac:dyDescent="0.25">
      <c r="E13" s="82" t="s">
        <v>44</v>
      </c>
    </row>
    <row r="14" spans="5:5" x14ac:dyDescent="0.25">
      <c r="E14" s="83" t="s">
        <v>106</v>
      </c>
    </row>
    <row r="15" spans="5:5" x14ac:dyDescent="0.25">
      <c r="E15" s="83" t="s">
        <v>110</v>
      </c>
    </row>
    <row r="16" spans="5:5" x14ac:dyDescent="0.25">
      <c r="E16" s="92" t="s">
        <v>159</v>
      </c>
    </row>
    <row r="17" spans="5:5" x14ac:dyDescent="0.25">
      <c r="E17" s="83" t="s">
        <v>98</v>
      </c>
    </row>
    <row r="18" spans="5:5" x14ac:dyDescent="0.25">
      <c r="E18" s="92" t="s">
        <v>47</v>
      </c>
    </row>
    <row r="19" spans="5:5" x14ac:dyDescent="0.25">
      <c r="E19" s="92" t="s">
        <v>125</v>
      </c>
    </row>
    <row r="20" spans="5:5" x14ac:dyDescent="0.25">
      <c r="E20" s="43" t="s">
        <v>66</v>
      </c>
    </row>
    <row r="21" spans="5:5" x14ac:dyDescent="0.25">
      <c r="E21" s="92" t="s">
        <v>30</v>
      </c>
    </row>
    <row r="22" spans="5:5" x14ac:dyDescent="0.25">
      <c r="E22" s="92" t="s">
        <v>150</v>
      </c>
    </row>
    <row r="23" spans="5:5" x14ac:dyDescent="0.25">
      <c r="E23" s="92" t="s">
        <v>53</v>
      </c>
    </row>
    <row r="24" spans="5:5" x14ac:dyDescent="0.25">
      <c r="E24" s="195" t="s">
        <v>72</v>
      </c>
    </row>
    <row r="25" spans="5:5" x14ac:dyDescent="0.25">
      <c r="E25" s="92" t="s">
        <v>128</v>
      </c>
    </row>
    <row r="26" spans="5:5" x14ac:dyDescent="0.25">
      <c r="E26" s="83" t="s">
        <v>42</v>
      </c>
    </row>
    <row r="27" spans="5:5" x14ac:dyDescent="0.25">
      <c r="E27" s="92" t="s">
        <v>161</v>
      </c>
    </row>
    <row r="28" spans="5:5" x14ac:dyDescent="0.25">
      <c r="E28" s="92" t="s">
        <v>33</v>
      </c>
    </row>
    <row r="29" spans="5:5" x14ac:dyDescent="0.25">
      <c r="E29" s="92" t="s">
        <v>108</v>
      </c>
    </row>
    <row r="30" spans="5:5" x14ac:dyDescent="0.25">
      <c r="E30" s="92" t="s">
        <v>129</v>
      </c>
    </row>
    <row r="31" spans="5:5" x14ac:dyDescent="0.25">
      <c r="E31" s="92" t="s">
        <v>147</v>
      </c>
    </row>
    <row r="32" spans="5:5" x14ac:dyDescent="0.25">
      <c r="E32" s="92" t="s">
        <v>89</v>
      </c>
    </row>
    <row r="33" spans="5:5" x14ac:dyDescent="0.25">
      <c r="E33" s="43" t="s">
        <v>70</v>
      </c>
    </row>
    <row r="34" spans="5:5" x14ac:dyDescent="0.25">
      <c r="E34" s="92" t="s">
        <v>20</v>
      </c>
    </row>
    <row r="35" spans="5:5" x14ac:dyDescent="0.25">
      <c r="E35" s="43" t="s">
        <v>62</v>
      </c>
    </row>
    <row r="36" spans="5:5" x14ac:dyDescent="0.25">
      <c r="E36" s="83" t="s">
        <v>78</v>
      </c>
    </row>
    <row r="37" spans="5:5" x14ac:dyDescent="0.25">
      <c r="E37" s="83" t="s">
        <v>40</v>
      </c>
    </row>
    <row r="38" spans="5:5" x14ac:dyDescent="0.25">
      <c r="E38" s="83" t="s">
        <v>91</v>
      </c>
    </row>
    <row r="39" spans="5:5" x14ac:dyDescent="0.25">
      <c r="E39" s="83" t="s">
        <v>83</v>
      </c>
    </row>
    <row r="40" spans="5:5" x14ac:dyDescent="0.25">
      <c r="E40" s="83" t="s">
        <v>81</v>
      </c>
    </row>
    <row r="41" spans="5:5" x14ac:dyDescent="0.25">
      <c r="E41" s="92" t="s">
        <v>100</v>
      </c>
    </row>
    <row r="42" spans="5:5" x14ac:dyDescent="0.25">
      <c r="E42" s="92" t="s">
        <v>99</v>
      </c>
    </row>
    <row r="43" spans="5:5" x14ac:dyDescent="0.25">
      <c r="E43" s="92" t="s">
        <v>36</v>
      </c>
    </row>
    <row r="44" spans="5:5" x14ac:dyDescent="0.25">
      <c r="E44" s="123" t="s">
        <v>28</v>
      </c>
    </row>
    <row r="45" spans="5:5" x14ac:dyDescent="0.25">
      <c r="E45" s="92" t="s">
        <v>145</v>
      </c>
    </row>
    <row r="46" spans="5:5" x14ac:dyDescent="0.25">
      <c r="E46" s="83" t="s">
        <v>43</v>
      </c>
    </row>
    <row r="47" spans="5:5" x14ac:dyDescent="0.25">
      <c r="E47" s="65" t="s">
        <v>34</v>
      </c>
    </row>
    <row r="48" spans="5:5" x14ac:dyDescent="0.25">
      <c r="E48" s="83" t="s">
        <v>85</v>
      </c>
    </row>
    <row r="49" spans="5:5" x14ac:dyDescent="0.25">
      <c r="E49" s="83" t="s">
        <v>96</v>
      </c>
    </row>
    <row r="50" spans="5:5" x14ac:dyDescent="0.25">
      <c r="E50" s="92" t="s">
        <v>69</v>
      </c>
    </row>
    <row r="51" spans="5:5" x14ac:dyDescent="0.25">
      <c r="E51" s="92" t="s">
        <v>130</v>
      </c>
    </row>
    <row r="52" spans="5:5" x14ac:dyDescent="0.25">
      <c r="E52" s="92" t="s">
        <v>153</v>
      </c>
    </row>
    <row r="53" spans="5:5" x14ac:dyDescent="0.25">
      <c r="E53" s="43" t="s">
        <v>25</v>
      </c>
    </row>
    <row r="54" spans="5:5" x14ac:dyDescent="0.25">
      <c r="E54" s="87" t="s">
        <v>88</v>
      </c>
    </row>
    <row r="55" spans="5:5" x14ac:dyDescent="0.25">
      <c r="E55" s="83" t="s">
        <v>35</v>
      </c>
    </row>
    <row r="56" spans="5:5" x14ac:dyDescent="0.25">
      <c r="E56" s="92" t="s">
        <v>168</v>
      </c>
    </row>
    <row r="57" spans="5:5" x14ac:dyDescent="0.25">
      <c r="E57" s="83" t="s">
        <v>97</v>
      </c>
    </row>
    <row r="58" spans="5:5" x14ac:dyDescent="0.25">
      <c r="E58" s="92" t="s">
        <v>97</v>
      </c>
    </row>
    <row r="59" spans="5:5" x14ac:dyDescent="0.25">
      <c r="E59" s="83" t="s">
        <v>105</v>
      </c>
    </row>
    <row r="60" spans="5:5" x14ac:dyDescent="0.25">
      <c r="E60" s="92" t="s">
        <v>151</v>
      </c>
    </row>
    <row r="61" spans="5:5" x14ac:dyDescent="0.25">
      <c r="E61" s="83" t="s">
        <v>80</v>
      </c>
    </row>
    <row r="62" spans="5:5" x14ac:dyDescent="0.25">
      <c r="E62" s="83" t="s">
        <v>102</v>
      </c>
    </row>
    <row r="63" spans="5:5" x14ac:dyDescent="0.25">
      <c r="E63" s="92" t="s">
        <v>160</v>
      </c>
    </row>
    <row r="64" spans="5:5" x14ac:dyDescent="0.25">
      <c r="E64" s="92" t="s">
        <v>24</v>
      </c>
    </row>
    <row r="65" spans="5:5" x14ac:dyDescent="0.25">
      <c r="E65" s="83" t="s">
        <v>19</v>
      </c>
    </row>
    <row r="66" spans="5:5" x14ac:dyDescent="0.25">
      <c r="E66" s="153" t="s">
        <v>149</v>
      </c>
    </row>
    <row r="67" spans="5:5" x14ac:dyDescent="0.25">
      <c r="E67" s="83" t="s">
        <v>82</v>
      </c>
    </row>
    <row r="68" spans="5:5" x14ac:dyDescent="0.25">
      <c r="E68" s="123" t="s">
        <v>49</v>
      </c>
    </row>
    <row r="69" spans="5:5" x14ac:dyDescent="0.25">
      <c r="E69" s="92" t="s">
        <v>154</v>
      </c>
    </row>
    <row r="70" spans="5:5" x14ac:dyDescent="0.25">
      <c r="E70" s="83" t="s">
        <v>122</v>
      </c>
    </row>
    <row r="71" spans="5:5" x14ac:dyDescent="0.25">
      <c r="E71" s="196" t="s">
        <v>76</v>
      </c>
    </row>
    <row r="72" spans="5:5" x14ac:dyDescent="0.25">
      <c r="E72" s="122" t="s">
        <v>71</v>
      </c>
    </row>
    <row r="73" spans="5:5" x14ac:dyDescent="0.25">
      <c r="E73" s="121" t="s">
        <v>71</v>
      </c>
    </row>
    <row r="74" spans="5:5" x14ac:dyDescent="0.25">
      <c r="E74" s="43" t="s">
        <v>68</v>
      </c>
    </row>
    <row r="75" spans="5:5" x14ac:dyDescent="0.25">
      <c r="E75" s="123" t="s">
        <v>170</v>
      </c>
    </row>
    <row r="76" spans="5:5" x14ac:dyDescent="0.25">
      <c r="E76" s="83" t="s">
        <v>118</v>
      </c>
    </row>
    <row r="77" spans="5:5" x14ac:dyDescent="0.25">
      <c r="E77" s="92" t="s">
        <v>119</v>
      </c>
    </row>
    <row r="78" spans="5:5" x14ac:dyDescent="0.25">
      <c r="E78" s="92" t="s">
        <v>164</v>
      </c>
    </row>
    <row r="79" spans="5:5" x14ac:dyDescent="0.25">
      <c r="E79" s="92" t="s">
        <v>155</v>
      </c>
    </row>
    <row r="80" spans="5:5" x14ac:dyDescent="0.25">
      <c r="E80" s="92" t="s">
        <v>146</v>
      </c>
    </row>
    <row r="81" spans="5:5" x14ac:dyDescent="0.25">
      <c r="E81" s="92" t="s">
        <v>31</v>
      </c>
    </row>
    <row r="82" spans="5:5" x14ac:dyDescent="0.25">
      <c r="E82" s="83" t="s">
        <v>101</v>
      </c>
    </row>
    <row r="83" spans="5:5" x14ac:dyDescent="0.25">
      <c r="E83" s="92" t="s">
        <v>127</v>
      </c>
    </row>
    <row r="84" spans="5:5" x14ac:dyDescent="0.25">
      <c r="E84" s="83" t="s">
        <v>104</v>
      </c>
    </row>
    <row r="85" spans="5:5" x14ac:dyDescent="0.25">
      <c r="E85" s="43" t="s">
        <v>67</v>
      </c>
    </row>
    <row r="86" spans="5:5" x14ac:dyDescent="0.25">
      <c r="E86" s="92" t="s">
        <v>46</v>
      </c>
    </row>
    <row r="87" spans="5:5" x14ac:dyDescent="0.25">
      <c r="E87" s="83" t="s">
        <v>109</v>
      </c>
    </row>
    <row r="88" spans="5:5" x14ac:dyDescent="0.25">
      <c r="E88" s="92" t="s">
        <v>27</v>
      </c>
    </row>
    <row r="89" spans="5:5" x14ac:dyDescent="0.25">
      <c r="E89" s="83" t="s">
        <v>95</v>
      </c>
    </row>
    <row r="90" spans="5:5" x14ac:dyDescent="0.25">
      <c r="E90" s="92" t="s">
        <v>157</v>
      </c>
    </row>
    <row r="91" spans="5:5" x14ac:dyDescent="0.25">
      <c r="E91" s="92" t="s">
        <v>37</v>
      </c>
    </row>
    <row r="92" spans="5:5" x14ac:dyDescent="0.25">
      <c r="E92" s="65" t="s">
        <v>73</v>
      </c>
    </row>
    <row r="93" spans="5:5" x14ac:dyDescent="0.25">
      <c r="E93" s="83" t="s">
        <v>79</v>
      </c>
    </row>
    <row r="94" spans="5:5" x14ac:dyDescent="0.25">
      <c r="E94" s="92" t="s">
        <v>144</v>
      </c>
    </row>
    <row r="95" spans="5:5" x14ac:dyDescent="0.25">
      <c r="E95" s="83" t="s">
        <v>103</v>
      </c>
    </row>
    <row r="96" spans="5:5" x14ac:dyDescent="0.25">
      <c r="E96" s="92" t="s">
        <v>166</v>
      </c>
    </row>
    <row r="97" spans="5:5" x14ac:dyDescent="0.25">
      <c r="E97" s="92" t="s">
        <v>120</v>
      </c>
    </row>
    <row r="98" spans="5:5" x14ac:dyDescent="0.25">
      <c r="E98" s="83" t="s">
        <v>23</v>
      </c>
    </row>
    <row r="99" spans="5:5" x14ac:dyDescent="0.25">
      <c r="E99" s="92" t="s">
        <v>93</v>
      </c>
    </row>
    <row r="100" spans="5:5" x14ac:dyDescent="0.25">
      <c r="E100" s="83" t="s">
        <v>90</v>
      </c>
    </row>
    <row r="101" spans="5:5" x14ac:dyDescent="0.25">
      <c r="E101" s="92" t="s">
        <v>143</v>
      </c>
    </row>
    <row r="102" spans="5:5" x14ac:dyDescent="0.25">
      <c r="E102" s="92" t="s">
        <v>152</v>
      </c>
    </row>
    <row r="103" spans="5:5" x14ac:dyDescent="0.25">
      <c r="E103" s="83" t="s">
        <v>86</v>
      </c>
    </row>
    <row r="104" spans="5:5" x14ac:dyDescent="0.25">
      <c r="E104" s="92" t="s">
        <v>54</v>
      </c>
    </row>
    <row r="105" spans="5:5" x14ac:dyDescent="0.25">
      <c r="E105" s="92" t="s">
        <v>165</v>
      </c>
    </row>
    <row r="106" spans="5:5" x14ac:dyDescent="0.25">
      <c r="E106" s="83" t="s">
        <v>74</v>
      </c>
    </row>
    <row r="107" spans="5:5" x14ac:dyDescent="0.25">
      <c r="E107" s="83" t="s">
        <v>94</v>
      </c>
    </row>
    <row r="108" spans="5:5" x14ac:dyDescent="0.25">
      <c r="E108" s="92" t="s">
        <v>156</v>
      </c>
    </row>
    <row r="109" spans="5:5" x14ac:dyDescent="0.25">
      <c r="E109" s="83" t="s">
        <v>92</v>
      </c>
    </row>
    <row r="110" spans="5:5" x14ac:dyDescent="0.25">
      <c r="E110" s="92" t="s">
        <v>18</v>
      </c>
    </row>
    <row r="111" spans="5:5" x14ac:dyDescent="0.25">
      <c r="E111" s="83" t="s">
        <v>77</v>
      </c>
    </row>
    <row r="112" spans="5:5" x14ac:dyDescent="0.25">
      <c r="E112" s="83" t="s">
        <v>123</v>
      </c>
    </row>
    <row r="113" spans="5:5" x14ac:dyDescent="0.25">
      <c r="E113" s="92" t="s">
        <v>29</v>
      </c>
    </row>
  </sheetData>
  <autoFilter ref="E1:E113">
    <sortState ref="E2:E113">
      <sortCondition ref="E1:E113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VIGENTES_ ESTIAGEM_SECA_2018</vt:lpstr>
      <vt:lpstr>Vencidos</vt:lpstr>
      <vt:lpstr>Arquivado</vt:lpstr>
      <vt:lpstr>backup</vt:lpstr>
      <vt:lpstr>Plan2</vt:lpstr>
      <vt:lpstr>'VIGENTES_ ESTIAGEM_SECA_2018'!Area_de_impressao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 BM João Paulo Cotta (CEDEC)</dc:creator>
  <cp:lastModifiedBy>Demetrio Silva Passos (CEDEC)</cp:lastModifiedBy>
  <cp:lastPrinted>2018-10-18T10:14:20Z</cp:lastPrinted>
  <dcterms:created xsi:type="dcterms:W3CDTF">2014-02-21T13:43:20Z</dcterms:created>
  <dcterms:modified xsi:type="dcterms:W3CDTF">2018-11-21T16:59:35Z</dcterms:modified>
</cp:coreProperties>
</file>